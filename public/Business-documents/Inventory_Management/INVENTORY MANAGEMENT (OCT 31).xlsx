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pa-Admin\Desktop\"/>
    </mc:Choice>
  </mc:AlternateContent>
  <xr:revisionPtr revIDLastSave="0" documentId="8_{FB559B3D-E048-274C-84E7-B3A3B3AEE59A}" xr6:coauthVersionLast="47" xr6:coauthVersionMax="47" xr10:uidLastSave="{00000000-0000-0000-0000-000000000000}"/>
  <bookViews>
    <workbookView xWindow="-120" yWindow="-120" windowWidth="24240" windowHeight="13140" xr2:uid="{91D69A52-2D24-4D23-8699-F87BAEDA28EB}"/>
  </bookViews>
  <sheets>
    <sheet name="INVENTORY MANAGEMENT" sheetId="1" r:id="rId1"/>
    <sheet name="PRODUCT PRICE" sheetId="2" r:id="rId2"/>
  </sheets>
  <externalReferences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0" i="1" l="1"/>
  <c r="K154" i="1"/>
  <c r="K157" i="1"/>
  <c r="K160" i="1"/>
  <c r="K163" i="1"/>
  <c r="K136" i="1"/>
  <c r="K139" i="1"/>
  <c r="K142" i="1"/>
  <c r="K145" i="1"/>
  <c r="K148" i="1"/>
  <c r="K151" i="1"/>
  <c r="K133" i="1"/>
  <c r="J190" i="1"/>
  <c r="K17" i="1"/>
  <c r="L8" i="1"/>
  <c r="L3" i="1"/>
  <c r="K255" i="1"/>
  <c r="J255" i="1"/>
  <c r="E255" i="1"/>
  <c r="M254" i="1"/>
  <c r="K254" i="1"/>
  <c r="J254" i="1"/>
  <c r="E254" i="1"/>
  <c r="M253" i="1"/>
  <c r="K253" i="1"/>
  <c r="J253" i="1"/>
  <c r="E253" i="1"/>
  <c r="M252" i="1"/>
  <c r="K252" i="1"/>
  <c r="J252" i="1"/>
  <c r="E252" i="1"/>
  <c r="M251" i="1"/>
  <c r="K251" i="1"/>
  <c r="L251" i="1"/>
  <c r="E251" i="1"/>
  <c r="F251" i="1"/>
  <c r="K250" i="1"/>
  <c r="J250" i="1"/>
  <c r="E250" i="1"/>
  <c r="M249" i="1"/>
  <c r="K249" i="1"/>
  <c r="J249" i="1"/>
  <c r="E249" i="1"/>
  <c r="M248" i="1"/>
  <c r="K248" i="1"/>
  <c r="J248" i="1"/>
  <c r="E248" i="1"/>
  <c r="M247" i="1"/>
  <c r="K247" i="1"/>
  <c r="J247" i="1"/>
  <c r="E247" i="1"/>
  <c r="M246" i="1"/>
  <c r="K246" i="1"/>
  <c r="L246" i="1"/>
  <c r="F246" i="1"/>
  <c r="E246" i="1"/>
  <c r="K245" i="1"/>
  <c r="J245" i="1"/>
  <c r="E245" i="1"/>
  <c r="M244" i="1"/>
  <c r="K244" i="1"/>
  <c r="J244" i="1"/>
  <c r="E244" i="1"/>
  <c r="M243" i="1"/>
  <c r="K243" i="1"/>
  <c r="J243" i="1"/>
  <c r="E243" i="1"/>
  <c r="M242" i="1"/>
  <c r="K242" i="1"/>
  <c r="J242" i="1"/>
  <c r="E242" i="1"/>
  <c r="M241" i="1"/>
  <c r="L241" i="1"/>
  <c r="K241" i="1"/>
  <c r="J241" i="1"/>
  <c r="E241" i="1"/>
  <c r="K240" i="1"/>
  <c r="J240" i="1"/>
  <c r="E240" i="1"/>
  <c r="M239" i="1"/>
  <c r="K239" i="1"/>
  <c r="J239" i="1"/>
  <c r="E239" i="1"/>
  <c r="M238" i="1"/>
  <c r="K238" i="1"/>
  <c r="J238" i="1"/>
  <c r="E238" i="1"/>
  <c r="M237" i="1"/>
  <c r="K237" i="1"/>
  <c r="J237" i="1"/>
  <c r="E237" i="1"/>
  <c r="M236" i="1"/>
  <c r="L236" i="1"/>
  <c r="K236" i="1"/>
  <c r="J236" i="1"/>
  <c r="F236" i="1"/>
  <c r="E236" i="1"/>
  <c r="K235" i="1"/>
  <c r="J235" i="1"/>
  <c r="E235" i="1"/>
  <c r="M234" i="1"/>
  <c r="K234" i="1"/>
  <c r="J234" i="1"/>
  <c r="E234" i="1"/>
  <c r="M233" i="1"/>
  <c r="K233" i="1"/>
  <c r="J233" i="1"/>
  <c r="E233" i="1"/>
  <c r="M232" i="1"/>
  <c r="K232" i="1"/>
  <c r="J232" i="1"/>
  <c r="E232" i="1"/>
  <c r="M231" i="1"/>
  <c r="L231" i="1"/>
  <c r="K231" i="1"/>
  <c r="J231" i="1"/>
  <c r="F231" i="1"/>
  <c r="E231" i="1"/>
  <c r="K230" i="1"/>
  <c r="J230" i="1"/>
  <c r="E230" i="1"/>
  <c r="M229" i="1"/>
  <c r="K229" i="1"/>
  <c r="J229" i="1"/>
  <c r="E229" i="1"/>
  <c r="M228" i="1"/>
  <c r="K228" i="1"/>
  <c r="J228" i="1"/>
  <c r="E228" i="1"/>
  <c r="M227" i="1"/>
  <c r="K227" i="1"/>
  <c r="J227" i="1"/>
  <c r="E227" i="1"/>
  <c r="M226" i="1"/>
  <c r="L226" i="1"/>
  <c r="K226" i="1"/>
  <c r="J226" i="1"/>
  <c r="F226" i="1"/>
  <c r="E226" i="1"/>
  <c r="K225" i="1"/>
  <c r="J225" i="1"/>
  <c r="E225" i="1"/>
  <c r="M224" i="1"/>
  <c r="K224" i="1"/>
  <c r="J224" i="1"/>
  <c r="E224" i="1"/>
  <c r="M223" i="1"/>
  <c r="K223" i="1"/>
  <c r="J223" i="1"/>
  <c r="E223" i="1"/>
  <c r="M222" i="1"/>
  <c r="K222" i="1"/>
  <c r="J222" i="1"/>
  <c r="E222" i="1"/>
  <c r="M221" i="1"/>
  <c r="L221" i="1"/>
  <c r="K221" i="1"/>
  <c r="J221" i="1"/>
  <c r="F221" i="1"/>
  <c r="E221" i="1"/>
  <c r="K220" i="1"/>
  <c r="J220" i="1"/>
  <c r="E220" i="1"/>
  <c r="M219" i="1"/>
  <c r="K219" i="1"/>
  <c r="J219" i="1"/>
  <c r="E219" i="1"/>
  <c r="M218" i="1"/>
  <c r="K218" i="1"/>
  <c r="J218" i="1"/>
  <c r="E218" i="1"/>
  <c r="M217" i="1"/>
  <c r="K217" i="1"/>
  <c r="J217" i="1"/>
  <c r="E217" i="1"/>
  <c r="M216" i="1"/>
  <c r="L216" i="1"/>
  <c r="K216" i="1"/>
  <c r="J216" i="1"/>
  <c r="F216" i="1"/>
  <c r="E216" i="1"/>
  <c r="K215" i="1"/>
  <c r="J215" i="1"/>
  <c r="E215" i="1"/>
  <c r="M214" i="1"/>
  <c r="K214" i="1"/>
  <c r="J214" i="1"/>
  <c r="E214" i="1"/>
  <c r="M213" i="1"/>
  <c r="K213" i="1"/>
  <c r="J213" i="1"/>
  <c r="E213" i="1"/>
  <c r="M212" i="1"/>
  <c r="K212" i="1"/>
  <c r="J212" i="1"/>
  <c r="E212" i="1"/>
  <c r="M211" i="1"/>
  <c r="K211" i="1"/>
  <c r="L211" i="1"/>
  <c r="E211" i="1"/>
  <c r="F211" i="1"/>
  <c r="K210" i="1"/>
  <c r="J210" i="1"/>
  <c r="E210" i="1"/>
  <c r="M209" i="1"/>
  <c r="K209" i="1"/>
  <c r="J209" i="1"/>
  <c r="E209" i="1"/>
  <c r="M208" i="1"/>
  <c r="K208" i="1"/>
  <c r="J208" i="1"/>
  <c r="E208" i="1"/>
  <c r="M207" i="1"/>
  <c r="K207" i="1"/>
  <c r="J207" i="1"/>
  <c r="E207" i="1"/>
  <c r="M206" i="1"/>
  <c r="L206" i="1"/>
  <c r="K206" i="1"/>
  <c r="F206" i="1"/>
  <c r="E206" i="1"/>
  <c r="K205" i="1"/>
  <c r="J205" i="1"/>
  <c r="E205" i="1"/>
  <c r="M204" i="1"/>
  <c r="K204" i="1"/>
  <c r="J204" i="1"/>
  <c r="E204" i="1"/>
  <c r="M203" i="1"/>
  <c r="K203" i="1"/>
  <c r="J203" i="1"/>
  <c r="E203" i="1"/>
  <c r="M202" i="1"/>
  <c r="K202" i="1"/>
  <c r="J202" i="1"/>
  <c r="E202" i="1"/>
  <c r="M201" i="1"/>
  <c r="L201" i="1"/>
  <c r="K201" i="1"/>
  <c r="J201" i="1"/>
  <c r="F201" i="1"/>
  <c r="E201" i="1"/>
  <c r="K200" i="1"/>
  <c r="J200" i="1"/>
  <c r="E200" i="1"/>
  <c r="M199" i="1"/>
  <c r="K199" i="1"/>
  <c r="J199" i="1"/>
  <c r="E199" i="1"/>
  <c r="M198" i="1"/>
  <c r="K198" i="1"/>
  <c r="J198" i="1"/>
  <c r="E198" i="1"/>
  <c r="M197" i="1"/>
  <c r="K197" i="1"/>
  <c r="J197" i="1"/>
  <c r="E197" i="1"/>
  <c r="M196" i="1"/>
  <c r="L196" i="1"/>
  <c r="K196" i="1"/>
  <c r="F196" i="1"/>
  <c r="E196" i="1"/>
  <c r="K195" i="1"/>
  <c r="J195" i="1"/>
  <c r="E195" i="1"/>
  <c r="M194" i="1"/>
  <c r="K194" i="1"/>
  <c r="J194" i="1"/>
  <c r="E194" i="1"/>
  <c r="M193" i="1"/>
  <c r="K193" i="1"/>
  <c r="J193" i="1"/>
  <c r="E193" i="1"/>
  <c r="M192" i="1"/>
  <c r="K192" i="1"/>
  <c r="J192" i="1"/>
  <c r="E192" i="1"/>
  <c r="M191" i="1"/>
  <c r="K191" i="1"/>
  <c r="L191" i="1"/>
  <c r="E191" i="1"/>
  <c r="K190" i="1"/>
  <c r="E190" i="1"/>
  <c r="M189" i="1"/>
  <c r="K189" i="1"/>
  <c r="J189" i="1"/>
  <c r="E189" i="1"/>
  <c r="M188" i="1"/>
  <c r="K188" i="1"/>
  <c r="E188" i="1"/>
  <c r="M187" i="1"/>
  <c r="K187" i="1"/>
  <c r="E187" i="1"/>
  <c r="M186" i="1"/>
  <c r="K186" i="1"/>
  <c r="J186" i="1"/>
  <c r="E186" i="1"/>
  <c r="F186" i="1"/>
  <c r="K185" i="1"/>
  <c r="J185" i="1"/>
  <c r="E185" i="1"/>
  <c r="M184" i="1"/>
  <c r="K184" i="1"/>
  <c r="J184" i="1"/>
  <c r="E184" i="1"/>
  <c r="M183" i="1"/>
  <c r="K183" i="1"/>
  <c r="J183" i="1"/>
  <c r="E183" i="1"/>
  <c r="M182" i="1"/>
  <c r="K182" i="1"/>
  <c r="J182" i="1"/>
  <c r="E182" i="1"/>
  <c r="M181" i="1"/>
  <c r="L181" i="1"/>
  <c r="K181" i="1"/>
  <c r="J181" i="1"/>
  <c r="F181" i="1"/>
  <c r="E181" i="1"/>
  <c r="K180" i="1"/>
  <c r="J180" i="1"/>
  <c r="E180" i="1"/>
  <c r="M179" i="1"/>
  <c r="K179" i="1"/>
  <c r="J179" i="1"/>
  <c r="E179" i="1"/>
  <c r="M178" i="1"/>
  <c r="K178" i="1"/>
  <c r="J178" i="1"/>
  <c r="E178" i="1"/>
  <c r="M177" i="1"/>
  <c r="K177" i="1"/>
  <c r="J177" i="1"/>
  <c r="E177" i="1"/>
  <c r="M176" i="1"/>
  <c r="L176" i="1"/>
  <c r="K176" i="1"/>
  <c r="J176" i="1"/>
  <c r="F176" i="1"/>
  <c r="E176" i="1"/>
  <c r="K175" i="1"/>
  <c r="J175" i="1"/>
  <c r="E175" i="1"/>
  <c r="M174" i="1"/>
  <c r="K174" i="1"/>
  <c r="J174" i="1"/>
  <c r="E174" i="1"/>
  <c r="M173" i="1"/>
  <c r="K173" i="1"/>
  <c r="J173" i="1"/>
  <c r="E173" i="1"/>
  <c r="M172" i="1"/>
  <c r="K172" i="1"/>
  <c r="J172" i="1"/>
  <c r="E172" i="1"/>
  <c r="M171" i="1"/>
  <c r="L171" i="1"/>
  <c r="K171" i="1"/>
  <c r="J171" i="1"/>
  <c r="F171" i="1"/>
  <c r="E171" i="1"/>
  <c r="K170" i="1"/>
  <c r="J170" i="1"/>
  <c r="E170" i="1"/>
  <c r="M169" i="1"/>
  <c r="K169" i="1"/>
  <c r="J169" i="1"/>
  <c r="E169" i="1"/>
  <c r="F166" i="1"/>
  <c r="M168" i="1"/>
  <c r="K168" i="1"/>
  <c r="J168" i="1"/>
  <c r="E168" i="1"/>
  <c r="M167" i="1"/>
  <c r="K167" i="1"/>
  <c r="J167" i="1"/>
  <c r="E167" i="1"/>
  <c r="M166" i="1"/>
  <c r="L166" i="1"/>
  <c r="K166" i="1"/>
  <c r="J166" i="1"/>
  <c r="E166" i="1"/>
  <c r="M163" i="1"/>
  <c r="J163" i="1"/>
  <c r="E163" i="1"/>
  <c r="M160" i="1"/>
  <c r="J160" i="1"/>
  <c r="E160" i="1"/>
  <c r="M157" i="1"/>
  <c r="J157" i="1"/>
  <c r="E157" i="1"/>
  <c r="M154" i="1"/>
  <c r="J154" i="1"/>
  <c r="E154" i="1"/>
  <c r="M151" i="1"/>
  <c r="J151" i="1"/>
  <c r="E151" i="1"/>
  <c r="M148" i="1"/>
  <c r="J148" i="1"/>
  <c r="E148" i="1"/>
  <c r="M145" i="1"/>
  <c r="J145" i="1"/>
  <c r="E145" i="1"/>
  <c r="M142" i="1"/>
  <c r="E142" i="1"/>
  <c r="M139" i="1"/>
  <c r="E139" i="1"/>
  <c r="M136" i="1"/>
  <c r="J136" i="1"/>
  <c r="E136" i="1"/>
  <c r="M133" i="1"/>
  <c r="J133" i="1"/>
  <c r="E133" i="1"/>
  <c r="M130" i="1"/>
  <c r="J130" i="1"/>
  <c r="E130" i="1"/>
  <c r="K129" i="1"/>
  <c r="J129" i="1"/>
  <c r="E129" i="1"/>
  <c r="M128" i="1"/>
  <c r="K128" i="1"/>
  <c r="J128" i="1"/>
  <c r="E128" i="1"/>
  <c r="M127" i="1"/>
  <c r="K127" i="1"/>
  <c r="J127" i="1"/>
  <c r="E127" i="1"/>
  <c r="M126" i="1"/>
  <c r="K126" i="1"/>
  <c r="J126" i="1"/>
  <c r="E126" i="1"/>
  <c r="M125" i="1"/>
  <c r="L125" i="1"/>
  <c r="K125" i="1"/>
  <c r="F125" i="1"/>
  <c r="E125" i="1"/>
  <c r="K124" i="1"/>
  <c r="J124" i="1"/>
  <c r="E124" i="1"/>
  <c r="M123" i="1"/>
  <c r="K123" i="1"/>
  <c r="J123" i="1"/>
  <c r="E123" i="1"/>
  <c r="M122" i="1"/>
  <c r="K122" i="1"/>
  <c r="J122" i="1"/>
  <c r="E122" i="1"/>
  <c r="M121" i="1"/>
  <c r="K121" i="1"/>
  <c r="J121" i="1"/>
  <c r="E121" i="1"/>
  <c r="M120" i="1"/>
  <c r="L120" i="1"/>
  <c r="K120" i="1"/>
  <c r="F120" i="1"/>
  <c r="E120" i="1"/>
  <c r="K119" i="1"/>
  <c r="J119" i="1"/>
  <c r="E119" i="1"/>
  <c r="M118" i="1"/>
  <c r="K118" i="1"/>
  <c r="J118" i="1"/>
  <c r="E118" i="1"/>
  <c r="M117" i="1"/>
  <c r="K117" i="1"/>
  <c r="J117" i="1"/>
  <c r="E117" i="1"/>
  <c r="M116" i="1"/>
  <c r="K116" i="1"/>
  <c r="J116" i="1"/>
  <c r="E116" i="1"/>
  <c r="M115" i="1"/>
  <c r="L115" i="1"/>
  <c r="K115" i="1"/>
  <c r="F115" i="1"/>
  <c r="E115" i="1"/>
  <c r="K114" i="1"/>
  <c r="J114" i="1"/>
  <c r="E114" i="1"/>
  <c r="M113" i="1"/>
  <c r="K113" i="1"/>
  <c r="J113" i="1"/>
  <c r="E113" i="1"/>
  <c r="M112" i="1"/>
  <c r="K112" i="1"/>
  <c r="J112" i="1"/>
  <c r="E112" i="1"/>
  <c r="M111" i="1"/>
  <c r="K111" i="1"/>
  <c r="J111" i="1"/>
  <c r="E111" i="1"/>
  <c r="M110" i="1"/>
  <c r="L110" i="1"/>
  <c r="K110" i="1"/>
  <c r="F110" i="1"/>
  <c r="E110" i="1"/>
  <c r="K109" i="1"/>
  <c r="J109" i="1"/>
  <c r="E109" i="1"/>
  <c r="M108" i="1"/>
  <c r="K108" i="1"/>
  <c r="J108" i="1"/>
  <c r="E108" i="1"/>
  <c r="M107" i="1"/>
  <c r="K107" i="1"/>
  <c r="J107" i="1"/>
  <c r="E107" i="1"/>
  <c r="M106" i="1"/>
  <c r="K106" i="1"/>
  <c r="J106" i="1"/>
  <c r="E106" i="1"/>
  <c r="M105" i="1"/>
  <c r="L105" i="1"/>
  <c r="K105" i="1"/>
  <c r="F105" i="1"/>
  <c r="E105" i="1"/>
  <c r="K104" i="1"/>
  <c r="J104" i="1"/>
  <c r="E104" i="1"/>
  <c r="M103" i="1"/>
  <c r="K103" i="1"/>
  <c r="J103" i="1"/>
  <c r="E103" i="1"/>
  <c r="M102" i="1"/>
  <c r="K102" i="1"/>
  <c r="J102" i="1"/>
  <c r="E102" i="1"/>
  <c r="M101" i="1"/>
  <c r="K101" i="1"/>
  <c r="J101" i="1"/>
  <c r="E101" i="1"/>
  <c r="M100" i="1"/>
  <c r="L100" i="1"/>
  <c r="K100" i="1"/>
  <c r="F100" i="1"/>
  <c r="E100" i="1"/>
  <c r="K99" i="1"/>
  <c r="J99" i="1"/>
  <c r="E99" i="1"/>
  <c r="M98" i="1"/>
  <c r="K98" i="1"/>
  <c r="J98" i="1"/>
  <c r="E98" i="1"/>
  <c r="M97" i="1"/>
  <c r="K97" i="1"/>
  <c r="J97" i="1"/>
  <c r="E97" i="1"/>
  <c r="M96" i="1"/>
  <c r="K96" i="1"/>
  <c r="J96" i="1"/>
  <c r="E96" i="1"/>
  <c r="M95" i="1"/>
  <c r="L95" i="1"/>
  <c r="K95" i="1"/>
  <c r="F95" i="1"/>
  <c r="E95" i="1"/>
  <c r="K94" i="1"/>
  <c r="J94" i="1"/>
  <c r="E94" i="1"/>
  <c r="M93" i="1"/>
  <c r="K93" i="1"/>
  <c r="J93" i="1"/>
  <c r="E93" i="1"/>
  <c r="M92" i="1"/>
  <c r="K92" i="1"/>
  <c r="J92" i="1"/>
  <c r="E92" i="1"/>
  <c r="M91" i="1"/>
  <c r="K91" i="1"/>
  <c r="J91" i="1"/>
  <c r="E91" i="1"/>
  <c r="M90" i="1"/>
  <c r="L90" i="1"/>
  <c r="K90" i="1"/>
  <c r="F90" i="1"/>
  <c r="E90" i="1"/>
  <c r="K89" i="1"/>
  <c r="J89" i="1"/>
  <c r="E89" i="1"/>
  <c r="M88" i="1"/>
  <c r="K88" i="1"/>
  <c r="J88" i="1"/>
  <c r="E88" i="1"/>
  <c r="M87" i="1"/>
  <c r="K87" i="1"/>
  <c r="E87" i="1"/>
  <c r="M86" i="1"/>
  <c r="K86" i="1"/>
  <c r="J86" i="1"/>
  <c r="E86" i="1"/>
  <c r="M85" i="1"/>
  <c r="L85" i="1"/>
  <c r="K85" i="1"/>
  <c r="F85" i="1"/>
  <c r="E85" i="1"/>
  <c r="K84" i="1"/>
  <c r="J84" i="1"/>
  <c r="E84" i="1"/>
  <c r="M83" i="1"/>
  <c r="K83" i="1"/>
  <c r="J83" i="1"/>
  <c r="E83" i="1"/>
  <c r="M82" i="1"/>
  <c r="K82" i="1"/>
  <c r="J82" i="1"/>
  <c r="E82" i="1"/>
  <c r="M81" i="1"/>
  <c r="K81" i="1"/>
  <c r="J81" i="1"/>
  <c r="E81" i="1"/>
  <c r="M80" i="1"/>
  <c r="L80" i="1"/>
  <c r="K80" i="1"/>
  <c r="F80" i="1"/>
  <c r="E80" i="1"/>
  <c r="K79" i="1"/>
  <c r="J79" i="1"/>
  <c r="E79" i="1"/>
  <c r="M78" i="1"/>
  <c r="K78" i="1"/>
  <c r="J78" i="1"/>
  <c r="E78" i="1"/>
  <c r="M77" i="1"/>
  <c r="K77" i="1"/>
  <c r="J77" i="1"/>
  <c r="E77" i="1"/>
  <c r="M76" i="1"/>
  <c r="K76" i="1"/>
  <c r="E76" i="1"/>
  <c r="M75" i="1"/>
  <c r="L75" i="1"/>
  <c r="K75" i="1"/>
  <c r="F75" i="1"/>
  <c r="E75" i="1"/>
  <c r="K74" i="1"/>
  <c r="J74" i="1"/>
  <c r="E74" i="1"/>
  <c r="M73" i="1"/>
  <c r="K73" i="1"/>
  <c r="J73" i="1"/>
  <c r="E73" i="1"/>
  <c r="M72" i="1"/>
  <c r="K72" i="1"/>
  <c r="J72" i="1"/>
  <c r="E72" i="1"/>
  <c r="M71" i="1"/>
  <c r="K71" i="1"/>
  <c r="J71" i="1"/>
  <c r="E71" i="1"/>
  <c r="M70" i="1"/>
  <c r="L70" i="1"/>
  <c r="K70" i="1"/>
  <c r="F70" i="1"/>
  <c r="E70" i="1"/>
  <c r="K69" i="1"/>
  <c r="J69" i="1"/>
  <c r="E69" i="1"/>
  <c r="M68" i="1"/>
  <c r="K68" i="1"/>
  <c r="J68" i="1"/>
  <c r="E68" i="1"/>
  <c r="M67" i="1"/>
  <c r="K67" i="1"/>
  <c r="J67" i="1"/>
  <c r="E67" i="1"/>
  <c r="M66" i="1"/>
  <c r="K66" i="1"/>
  <c r="J66" i="1"/>
  <c r="E66" i="1"/>
  <c r="M65" i="1"/>
  <c r="L65" i="1"/>
  <c r="K65" i="1"/>
  <c r="F65" i="1"/>
  <c r="E65" i="1"/>
  <c r="K64" i="1"/>
  <c r="J64" i="1"/>
  <c r="E64" i="1"/>
  <c r="M63" i="1"/>
  <c r="K63" i="1"/>
  <c r="J63" i="1"/>
  <c r="E63" i="1"/>
  <c r="M62" i="1"/>
  <c r="K62" i="1"/>
  <c r="J62" i="1"/>
  <c r="E62" i="1"/>
  <c r="M61" i="1"/>
  <c r="K61" i="1"/>
  <c r="J61" i="1"/>
  <c r="E61" i="1"/>
  <c r="M60" i="1"/>
  <c r="L60" i="1"/>
  <c r="K60" i="1"/>
  <c r="J60" i="1"/>
  <c r="F60" i="1"/>
  <c r="E60" i="1"/>
  <c r="K57" i="1"/>
  <c r="J57" i="1"/>
  <c r="E57" i="1"/>
  <c r="M56" i="1"/>
  <c r="K56" i="1"/>
  <c r="J56" i="1"/>
  <c r="E56" i="1"/>
  <c r="M55" i="1"/>
  <c r="K55" i="1"/>
  <c r="J55" i="1"/>
  <c r="E55" i="1"/>
  <c r="M54" i="1"/>
  <c r="K54" i="1"/>
  <c r="J54" i="1"/>
  <c r="E54" i="1"/>
  <c r="M53" i="1"/>
  <c r="L53" i="1"/>
  <c r="K53" i="1"/>
  <c r="J53" i="1"/>
  <c r="F53" i="1"/>
  <c r="E53" i="1"/>
  <c r="K52" i="1"/>
  <c r="J52" i="1"/>
  <c r="E52" i="1"/>
  <c r="M51" i="1"/>
  <c r="K51" i="1"/>
  <c r="J51" i="1"/>
  <c r="E51" i="1"/>
  <c r="M50" i="1"/>
  <c r="K50" i="1"/>
  <c r="J50" i="1"/>
  <c r="E50" i="1"/>
  <c r="M49" i="1"/>
  <c r="K49" i="1"/>
  <c r="J49" i="1"/>
  <c r="E49" i="1"/>
  <c r="M48" i="1"/>
  <c r="L48" i="1"/>
  <c r="K48" i="1"/>
  <c r="F48" i="1"/>
  <c r="E48" i="1"/>
  <c r="K47" i="1"/>
  <c r="J47" i="1"/>
  <c r="E47" i="1"/>
  <c r="M46" i="1"/>
  <c r="K46" i="1"/>
  <c r="J46" i="1"/>
  <c r="E46" i="1"/>
  <c r="M45" i="1"/>
  <c r="K45" i="1"/>
  <c r="J45" i="1"/>
  <c r="E45" i="1"/>
  <c r="M44" i="1"/>
  <c r="K44" i="1"/>
  <c r="J44" i="1"/>
  <c r="E44" i="1"/>
  <c r="M43" i="1"/>
  <c r="L43" i="1"/>
  <c r="K43" i="1"/>
  <c r="F43" i="1"/>
  <c r="E43" i="1"/>
  <c r="K42" i="1"/>
  <c r="J42" i="1"/>
  <c r="E42" i="1"/>
  <c r="M41" i="1"/>
  <c r="K41" i="1"/>
  <c r="J41" i="1"/>
  <c r="E41" i="1"/>
  <c r="M40" i="1"/>
  <c r="K40" i="1"/>
  <c r="J40" i="1"/>
  <c r="E40" i="1"/>
  <c r="M39" i="1"/>
  <c r="K39" i="1"/>
  <c r="J39" i="1"/>
  <c r="E39" i="1"/>
  <c r="M38" i="1"/>
  <c r="L38" i="1"/>
  <c r="K38" i="1"/>
  <c r="F38" i="1"/>
  <c r="E38" i="1"/>
  <c r="K37" i="1"/>
  <c r="J37" i="1"/>
  <c r="E37" i="1"/>
  <c r="M36" i="1"/>
  <c r="K36" i="1"/>
  <c r="J36" i="1"/>
  <c r="E36" i="1"/>
  <c r="M35" i="1"/>
  <c r="K35" i="1"/>
  <c r="J35" i="1"/>
  <c r="E35" i="1"/>
  <c r="M34" i="1"/>
  <c r="K34" i="1"/>
  <c r="J34" i="1"/>
  <c r="E34" i="1"/>
  <c r="M33" i="1"/>
  <c r="L33" i="1"/>
  <c r="K33" i="1"/>
  <c r="J33" i="1"/>
  <c r="F33" i="1"/>
  <c r="E33" i="1"/>
  <c r="K32" i="1"/>
  <c r="J32" i="1"/>
  <c r="E32" i="1"/>
  <c r="M31" i="1"/>
  <c r="K31" i="1"/>
  <c r="J31" i="1"/>
  <c r="E31" i="1"/>
  <c r="M30" i="1"/>
  <c r="K30" i="1"/>
  <c r="J30" i="1"/>
  <c r="E30" i="1"/>
  <c r="M29" i="1"/>
  <c r="K29" i="1"/>
  <c r="J29" i="1"/>
  <c r="E29" i="1"/>
  <c r="M28" i="1"/>
  <c r="L28" i="1"/>
  <c r="K28" i="1"/>
  <c r="J28" i="1"/>
  <c r="F28" i="1"/>
  <c r="E28" i="1"/>
  <c r="K27" i="1"/>
  <c r="J27" i="1"/>
  <c r="E27" i="1"/>
  <c r="M26" i="1"/>
  <c r="K26" i="1"/>
  <c r="J26" i="1"/>
  <c r="E26" i="1"/>
  <c r="M25" i="1"/>
  <c r="K25" i="1"/>
  <c r="J25" i="1"/>
  <c r="E25" i="1"/>
  <c r="M24" i="1"/>
  <c r="K24" i="1"/>
  <c r="J24" i="1"/>
  <c r="E24" i="1"/>
  <c r="M23" i="1"/>
  <c r="L23" i="1"/>
  <c r="K23" i="1"/>
  <c r="J23" i="1"/>
  <c r="F23" i="1"/>
  <c r="E23" i="1"/>
  <c r="K22" i="1"/>
  <c r="J22" i="1"/>
  <c r="E22" i="1"/>
  <c r="M21" i="1"/>
  <c r="K21" i="1"/>
  <c r="J21" i="1"/>
  <c r="E21" i="1"/>
  <c r="M20" i="1"/>
  <c r="K20" i="1"/>
  <c r="J20" i="1"/>
  <c r="E20" i="1"/>
  <c r="M19" i="1"/>
  <c r="K19" i="1"/>
  <c r="J19" i="1"/>
  <c r="E19" i="1"/>
  <c r="M18" i="1"/>
  <c r="L18" i="1"/>
  <c r="K18" i="1"/>
  <c r="F18" i="1"/>
  <c r="E18" i="1"/>
  <c r="J17" i="1"/>
  <c r="E17" i="1"/>
  <c r="M16" i="1"/>
  <c r="K16" i="1"/>
  <c r="J16" i="1"/>
  <c r="E16" i="1"/>
  <c r="M15" i="1"/>
  <c r="K15" i="1"/>
  <c r="J15" i="1"/>
  <c r="E15" i="1"/>
  <c r="M14" i="1"/>
  <c r="K14" i="1"/>
  <c r="J14" i="1"/>
  <c r="E14" i="1"/>
  <c r="M13" i="1"/>
  <c r="L13" i="1"/>
  <c r="K13" i="1"/>
  <c r="F13" i="1"/>
  <c r="E13" i="1"/>
  <c r="M12" i="1"/>
  <c r="K12" i="1"/>
  <c r="J12" i="1"/>
  <c r="E12" i="1"/>
  <c r="M11" i="1"/>
  <c r="K11" i="1"/>
  <c r="J11" i="1"/>
  <c r="E11" i="1"/>
  <c r="M10" i="1"/>
  <c r="K10" i="1"/>
  <c r="J10" i="1"/>
  <c r="E10" i="1"/>
  <c r="M9" i="1"/>
  <c r="K9" i="1"/>
  <c r="J9" i="1"/>
  <c r="E9" i="1"/>
  <c r="M8" i="1"/>
  <c r="K8" i="1"/>
  <c r="F8" i="1"/>
  <c r="E8" i="1"/>
  <c r="K7" i="1"/>
  <c r="J7" i="1"/>
  <c r="E7" i="1"/>
  <c r="M6" i="1"/>
  <c r="K6" i="1"/>
  <c r="J6" i="1"/>
  <c r="E6" i="1"/>
  <c r="M5" i="1"/>
  <c r="K5" i="1"/>
  <c r="J5" i="1"/>
  <c r="E5" i="1"/>
  <c r="M4" i="1"/>
  <c r="K4" i="1"/>
  <c r="J4" i="1"/>
  <c r="E4" i="1"/>
  <c r="M3" i="1"/>
  <c r="F3" i="1"/>
  <c r="E3" i="1"/>
  <c r="F241" i="1"/>
  <c r="F191" i="1"/>
  <c r="L186" i="1"/>
  <c r="F258" i="1"/>
</calcChain>
</file>

<file path=xl/sharedStrings.xml><?xml version="1.0" encoding="utf-8"?>
<sst xmlns="http://schemas.openxmlformats.org/spreadsheetml/2006/main" count="805" uniqueCount="80">
  <si>
    <t>SL. No.</t>
  </si>
  <si>
    <t xml:space="preserve">PRODUCT </t>
  </si>
  <si>
    <t xml:space="preserve">OPENING STOCK </t>
  </si>
  <si>
    <t>Opening STOCK VALUE</t>
  </si>
  <si>
    <t>NEW STOCK</t>
  </si>
  <si>
    <t xml:space="preserve">CLOSING STOCK </t>
  </si>
  <si>
    <t>SALE</t>
  </si>
  <si>
    <t>Closing STOCK VALUE</t>
  </si>
  <si>
    <t xml:space="preserve">EMPTY BOTTLE </t>
  </si>
  <si>
    <t>CEASAR BRANDY</t>
  </si>
  <si>
    <t>1000 ml</t>
  </si>
  <si>
    <t>750 ml</t>
  </si>
  <si>
    <t>500 ml</t>
  </si>
  <si>
    <t>375 ml</t>
  </si>
  <si>
    <t>60 ml</t>
  </si>
  <si>
    <t>M.C BRANDY</t>
  </si>
  <si>
    <t>MGM ORANGE VODKA</t>
  </si>
  <si>
    <t>MANSION HOUSE BRANDY</t>
  </si>
  <si>
    <t>OLD CASK RUM</t>
  </si>
  <si>
    <t>CR. NEPOLEAN BRANDY</t>
  </si>
  <si>
    <t>HONEY BEE BRANDY</t>
  </si>
  <si>
    <t>OFFICER CHOICE BRANDY</t>
  </si>
  <si>
    <t>8 P.M EXCELLENCY BRANDY</t>
  </si>
  <si>
    <t>WHITE MISCHIEF BRANDY</t>
  </si>
  <si>
    <t>KEYRON BRANDY</t>
  </si>
  <si>
    <t>BUDGET RUM</t>
  </si>
  <si>
    <t>M.C VSOP BRANDY</t>
  </si>
  <si>
    <t xml:space="preserve">M.C WHISKEY </t>
  </si>
  <si>
    <t xml:space="preserve">GREEN LABEL WHISKEY </t>
  </si>
  <si>
    <t>LE MONTE WHITE BRANDY</t>
  </si>
  <si>
    <t>CONTESSA WHITE RUM</t>
  </si>
  <si>
    <t>CR. NEPOLEAN GREEN BRANDY</t>
  </si>
  <si>
    <t>VINHO DE GOA RED WINE</t>
  </si>
  <si>
    <t>M.C RUM</t>
  </si>
  <si>
    <t>OLD PORT RUM</t>
  </si>
  <si>
    <t>BACARDI LEMON WHITE RUM</t>
  </si>
  <si>
    <t>OLD MONK RUM</t>
  </si>
  <si>
    <t>MAGIC MOMENTS PREMIUM VODKA</t>
  </si>
  <si>
    <t xml:space="preserve">M.M REMIX (Orange) VODKA </t>
  </si>
  <si>
    <t>KINGFISHER ULTRA MAX</t>
  </si>
  <si>
    <t>650 ml</t>
  </si>
  <si>
    <t>KINGFISHER SUPERIOR MALT</t>
  </si>
  <si>
    <t>STERRIN</t>
  </si>
  <si>
    <t xml:space="preserve">BULLET BEER </t>
  </si>
  <si>
    <t>HEINEKEN BEER</t>
  </si>
  <si>
    <t>KINGFISHER BLUE BEER</t>
  </si>
  <si>
    <t>KOLT BEER</t>
  </si>
  <si>
    <t>BUDWEISER MAGNUM BEER</t>
  </si>
  <si>
    <t>BROCODE BEER</t>
  </si>
  <si>
    <t>ZINGARO BEER</t>
  </si>
  <si>
    <t>FOSTER'S BEER</t>
  </si>
  <si>
    <t>RIO STRONG BEER</t>
  </si>
  <si>
    <t>OLD CHEF RUM</t>
  </si>
  <si>
    <t>OLD CHEF BRANDY</t>
  </si>
  <si>
    <t>MORPHEUS BLUE BRANDY</t>
  </si>
  <si>
    <t>MOOD MAKER BRANDY</t>
  </si>
  <si>
    <t>ROYAL ARMS BRANDY</t>
  </si>
  <si>
    <t>MUSCOVY ORANGE VODKA</t>
  </si>
  <si>
    <t>NORMANDY DADDY WILSON RUM</t>
  </si>
  <si>
    <t xml:space="preserve">RAYA WHITE WINE </t>
  </si>
  <si>
    <t xml:space="preserve">OFFICERS CHOICE WHISKEY </t>
  </si>
  <si>
    <t>DSP BLACK BRANDY</t>
  </si>
  <si>
    <t xml:space="preserve">TEACHER'S HIGHLAND CREAM WHISKEY </t>
  </si>
  <si>
    <t xml:space="preserve">JOHNY WALKER BLACK LABEL WHISKEY </t>
  </si>
  <si>
    <t xml:space="preserve">VAT 69 </t>
  </si>
  <si>
    <t>JANATHA BRANDY</t>
  </si>
  <si>
    <t>SMIRNOFF VODKA</t>
  </si>
  <si>
    <t>SIGNATURE WHISKEY</t>
  </si>
  <si>
    <t>JAWAN RUM</t>
  </si>
  <si>
    <t>MANGO CHILLI VODKA</t>
  </si>
  <si>
    <t xml:space="preserve">TOTAL STOCK VALUE AFTER CLOSING : </t>
  </si>
  <si>
    <t>SL.No</t>
  </si>
  <si>
    <t>PARTICULARS</t>
  </si>
  <si>
    <t xml:space="preserve">VOLUME </t>
  </si>
  <si>
    <t>PURCHASE COST (per case)</t>
  </si>
  <si>
    <t>KYRON BRANDY</t>
  </si>
  <si>
    <t>LE MOUNT WHITE BRANDY</t>
  </si>
  <si>
    <t>650 ML</t>
  </si>
  <si>
    <t>KINGFISHER STORM</t>
  </si>
  <si>
    <t xml:space="preserve">BRITISH EMPIRE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</si>
</sst>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 mmmm\ yyyy"/>
    <numFmt numFmtId="165" formatCode="[$Rs]#,##0.00"/>
    <numFmt numFmtId="166" formatCode="&quot;Rs.&quot;\ #,##0.00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Verdana"/>
      <family val="2"/>
    </font>
    <font>
      <sz val="10"/>
      <color rgb="FF000000"/>
      <name val="Verdana"/>
      <family val="2"/>
    </font>
    <font>
      <sz val="10"/>
      <name val="Verdana"/>
      <family val="2"/>
    </font>
    <font>
      <sz val="10"/>
      <color theme="1"/>
      <name val="Verdana"/>
      <family val="2"/>
    </font>
    <font>
      <b/>
      <sz val="13"/>
      <color theme="1"/>
      <name val="Verdana"/>
      <family val="2"/>
    </font>
    <font>
      <sz val="10"/>
      <name val="Arial"/>
      <family val="2"/>
    </font>
    <font>
      <sz val="9"/>
      <color theme="1"/>
      <name val="Verdana"/>
      <family val="2"/>
    </font>
    <font>
      <b/>
      <sz val="30"/>
      <color theme="1"/>
      <name val="Verdana"/>
      <family val="2"/>
    </font>
    <font>
      <b/>
      <u/>
      <sz val="10"/>
      <color rgb="FF0000FF"/>
      <name val="Verdana"/>
      <family val="2"/>
    </font>
    <font>
      <b/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65" fontId="4" fillId="0" borderId="13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165" fontId="4" fillId="0" borderId="17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165" fontId="4" fillId="0" borderId="25" xfId="0" applyNumberFormat="1" applyFont="1" applyBorder="1" applyAlignment="1">
      <alignment horizontal="center" vertical="center"/>
    </xf>
    <xf numFmtId="165" fontId="4" fillId="0" borderId="18" xfId="0" applyNumberFormat="1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165" fontId="4" fillId="0" borderId="29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33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166" fontId="4" fillId="0" borderId="27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5" fontId="5" fillId="0" borderId="20" xfId="0" applyNumberFormat="1" applyFont="1" applyBorder="1" applyAlignment="1">
      <alignment horizontal="center" vertical="center"/>
    </xf>
    <xf numFmtId="165" fontId="5" fillId="0" borderId="28" xfId="0" applyNumberFormat="1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6" fillId="0" borderId="32" xfId="0" applyFont="1" applyBorder="1"/>
    <xf numFmtId="0" fontId="6" fillId="0" borderId="15" xfId="0" applyFont="1" applyBorder="1"/>
    <xf numFmtId="0" fontId="4" fillId="0" borderId="33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5" fontId="8" fillId="2" borderId="44" xfId="0" applyNumberFormat="1" applyFont="1" applyFill="1" applyBorder="1" applyAlignment="1">
      <alignment horizontal="center" vertical="center"/>
    </xf>
    <xf numFmtId="165" fontId="8" fillId="2" borderId="8" xfId="0" applyNumberFormat="1" applyFont="1" applyFill="1" applyBorder="1" applyAlignment="1">
      <alignment horizontal="center" vertical="center"/>
    </xf>
    <xf numFmtId="165" fontId="8" fillId="2" borderId="9" xfId="0" applyNumberFormat="1" applyFont="1" applyFill="1" applyBorder="1" applyAlignment="1">
      <alignment horizontal="center" vertical="center"/>
    </xf>
    <xf numFmtId="165" fontId="8" fillId="2" borderId="45" xfId="0" applyNumberFormat="1" applyFont="1" applyFill="1" applyBorder="1" applyAlignment="1">
      <alignment horizontal="center" vertical="center"/>
    </xf>
    <xf numFmtId="165" fontId="8" fillId="2" borderId="0" xfId="0" applyNumberFormat="1" applyFont="1" applyFill="1" applyAlignment="1">
      <alignment horizontal="center" vertical="center"/>
    </xf>
    <xf numFmtId="165" fontId="8" fillId="2" borderId="38" xfId="0" applyNumberFormat="1" applyFont="1" applyFill="1" applyBorder="1" applyAlignment="1">
      <alignment horizontal="center" vertical="center"/>
    </xf>
    <xf numFmtId="165" fontId="8" fillId="2" borderId="46" xfId="0" applyNumberFormat="1" applyFont="1" applyFill="1" applyBorder="1" applyAlignment="1">
      <alignment horizontal="center" vertical="center"/>
    </xf>
    <xf numFmtId="165" fontId="8" fillId="2" borderId="47" xfId="0" applyNumberFormat="1" applyFont="1" applyFill="1" applyBorder="1" applyAlignment="1">
      <alignment horizontal="center" vertical="center"/>
    </xf>
    <xf numFmtId="165" fontId="8" fillId="2" borderId="48" xfId="0" applyNumberFormat="1" applyFont="1" applyFill="1" applyBorder="1" applyAlignment="1">
      <alignment horizontal="center" vertical="center"/>
    </xf>
    <xf numFmtId="0" fontId="6" fillId="0" borderId="10" xfId="0" applyFont="1" applyBorder="1"/>
    <xf numFmtId="0" fontId="6" fillId="0" borderId="23" xfId="0" applyFont="1" applyBorder="1"/>
    <xf numFmtId="0" fontId="4" fillId="0" borderId="33" xfId="0" applyFont="1" applyBorder="1" applyAlignment="1">
      <alignment horizontal="center" vertical="center" wrapText="1"/>
    </xf>
    <xf numFmtId="0" fontId="6" fillId="0" borderId="29" xfId="0" applyFont="1" applyBorder="1"/>
    <xf numFmtId="0" fontId="6" fillId="0" borderId="11" xfId="0" applyFont="1" applyBorder="1"/>
    <xf numFmtId="0" fontId="6" fillId="0" borderId="18" xfId="0" applyFont="1" applyBorder="1"/>
    <xf numFmtId="166" fontId="4" fillId="0" borderId="33" xfId="0" applyNumberFormat="1" applyFont="1" applyBorder="1" applyAlignment="1">
      <alignment horizontal="center" vertical="center"/>
    </xf>
  </cellXfs>
  <cellStyles count="1">
    <cellStyle name="Normal" xfId="0" builtinId="0"/>
  </cellStyles>
  <dxfs count="20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</font>
      <fill>
        <patternFill patternType="none"/>
      </fill>
    </dxf>
    <dxf>
      <font>
        <b/>
      </font>
      <fill>
        <patternFill patternType="solid">
          <fgColor rgb="FF33CC33"/>
          <bgColor rgb="FF33CC33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</font>
      <fill>
        <patternFill patternType="solid">
          <fgColor rgb="FF33CC33"/>
          <bgColor rgb="FF33CC3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</font>
      <fill>
        <patternFill patternType="none"/>
      </fill>
    </dxf>
    <dxf>
      <font>
        <b/>
      </font>
      <fill>
        <patternFill patternType="solid">
          <fgColor rgb="FF33CC33"/>
          <bgColor rgb="FF33CC33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</font>
      <fill>
        <patternFill patternType="solid">
          <fgColor rgb="FF33CC33"/>
          <bgColor rgb="FF33CC33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C:/Users/Dream-Machine/Desktop/Sreerag/Sreerag/Inventory%20Management/October/OCTOBER.xlsx" TargetMode="External" /><Relationship Id="rId1" Type="http://schemas.openxmlformats.org/officeDocument/2006/relationships/externalLinkPath" Target="/Users/Dream-Machine/Desktop/Sreerag/Sreerag/Inventory%20Management/October/OCTOBER.xlsx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4-10-17"/>
      <sheetName val="2024-10-18"/>
      <sheetName val="2024-10-19"/>
      <sheetName val="2024-10-20"/>
      <sheetName val="2024-10-21"/>
      <sheetName val="2024-10-22"/>
      <sheetName val="2024-10-23"/>
      <sheetName val="2024-10-24"/>
      <sheetName val="2024-10-25"/>
      <sheetName val="2024-10-26"/>
      <sheetName val="2024-10-27"/>
      <sheetName val="2024-10-28"/>
      <sheetName val="2024-10-29"/>
      <sheetName val="2024-10-30"/>
      <sheetName val="2024-10-31"/>
      <sheetName val="PURCHASE CO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">
          <cell r="D2"/>
        </row>
        <row r="3">
          <cell r="D3">
            <v>13420</v>
          </cell>
        </row>
        <row r="4">
          <cell r="D4"/>
        </row>
        <row r="5">
          <cell r="D5"/>
        </row>
        <row r="7">
          <cell r="D7">
            <v>6720</v>
          </cell>
        </row>
        <row r="8">
          <cell r="D8"/>
        </row>
        <row r="9">
          <cell r="D9">
            <v>6600</v>
          </cell>
        </row>
        <row r="10">
          <cell r="D10"/>
        </row>
        <row r="12">
          <cell r="D12">
            <v>6420</v>
          </cell>
        </row>
        <row r="13">
          <cell r="D13">
            <v>7160</v>
          </cell>
        </row>
        <row r="14">
          <cell r="D14">
            <v>6500</v>
          </cell>
        </row>
        <row r="15">
          <cell r="D15">
            <v>7000</v>
          </cell>
        </row>
        <row r="17">
          <cell r="D17">
            <v>8240</v>
          </cell>
        </row>
        <row r="18">
          <cell r="D18">
            <v>10520</v>
          </cell>
        </row>
        <row r="19">
          <cell r="D19">
            <v>8640</v>
          </cell>
        </row>
        <row r="20">
          <cell r="D20">
            <v>10620</v>
          </cell>
        </row>
        <row r="22">
          <cell r="D22">
            <v>6620</v>
          </cell>
        </row>
        <row r="23">
          <cell r="D23"/>
        </row>
        <row r="24">
          <cell r="D24">
            <v>6500</v>
          </cell>
        </row>
        <row r="25">
          <cell r="D25">
            <v>6900</v>
          </cell>
        </row>
        <row r="27">
          <cell r="D27">
            <v>7420</v>
          </cell>
        </row>
        <row r="28">
          <cell r="D28">
            <v>7960</v>
          </cell>
        </row>
        <row r="29">
          <cell r="D29">
            <v>7600</v>
          </cell>
        </row>
        <row r="30">
          <cell r="D30"/>
        </row>
        <row r="32">
          <cell r="D32">
            <v>6720</v>
          </cell>
        </row>
        <row r="33">
          <cell r="D33"/>
        </row>
        <row r="34">
          <cell r="D34">
            <v>6600</v>
          </cell>
        </row>
        <row r="35">
          <cell r="D35">
            <v>7100</v>
          </cell>
        </row>
        <row r="37">
          <cell r="D37">
            <v>7520</v>
          </cell>
        </row>
        <row r="38">
          <cell r="D38">
            <v>8260</v>
          </cell>
        </row>
        <row r="39">
          <cell r="D39">
            <v>7500</v>
          </cell>
        </row>
        <row r="40">
          <cell r="D40">
            <v>8500</v>
          </cell>
        </row>
        <row r="42">
          <cell r="D42">
            <v>6020</v>
          </cell>
        </row>
        <row r="43">
          <cell r="D43"/>
        </row>
        <row r="44">
          <cell r="D44">
            <v>6300</v>
          </cell>
        </row>
        <row r="45">
          <cell r="D45">
            <v>7100</v>
          </cell>
        </row>
        <row r="47">
          <cell r="D47">
            <v>6720</v>
          </cell>
        </row>
        <row r="48">
          <cell r="D48">
            <v>6800</v>
          </cell>
        </row>
        <row r="49">
          <cell r="D49">
            <v>6900</v>
          </cell>
        </row>
        <row r="50">
          <cell r="D50">
            <v>7500</v>
          </cell>
        </row>
        <row r="52">
          <cell r="D52"/>
        </row>
        <row r="53">
          <cell r="D53">
            <v>13620</v>
          </cell>
        </row>
        <row r="54">
          <cell r="D54"/>
        </row>
        <row r="55">
          <cell r="D55">
            <v>13720</v>
          </cell>
        </row>
        <row r="59">
          <cell r="D59">
            <v>7940</v>
          </cell>
        </row>
        <row r="60">
          <cell r="D60"/>
        </row>
        <row r="61">
          <cell r="D61">
            <v>8040</v>
          </cell>
        </row>
        <row r="62">
          <cell r="D62">
            <v>9100</v>
          </cell>
        </row>
        <row r="64">
          <cell r="D64">
            <v>8240</v>
          </cell>
        </row>
        <row r="65">
          <cell r="D65">
            <v>10420</v>
          </cell>
        </row>
        <row r="66">
          <cell r="D66">
            <v>8640</v>
          </cell>
        </row>
        <row r="67">
          <cell r="D67">
            <v>10300</v>
          </cell>
        </row>
        <row r="69">
          <cell r="D69">
            <v>10140</v>
          </cell>
        </row>
        <row r="70">
          <cell r="D70">
            <v>11120</v>
          </cell>
        </row>
        <row r="71">
          <cell r="D71"/>
        </row>
        <row r="72">
          <cell r="D72"/>
        </row>
        <row r="74">
          <cell r="D74"/>
        </row>
        <row r="75">
          <cell r="D75">
            <v>8460</v>
          </cell>
        </row>
        <row r="76">
          <cell r="D76">
            <v>7600</v>
          </cell>
        </row>
        <row r="77">
          <cell r="D77">
            <v>8500</v>
          </cell>
        </row>
        <row r="79">
          <cell r="D79">
            <v>8140</v>
          </cell>
        </row>
        <row r="80">
          <cell r="D80">
            <v>9660</v>
          </cell>
        </row>
        <row r="81">
          <cell r="D81">
            <v>8740</v>
          </cell>
        </row>
        <row r="82">
          <cell r="D82">
            <v>9700</v>
          </cell>
        </row>
        <row r="84">
          <cell r="D84">
            <v>7500</v>
          </cell>
        </row>
        <row r="85">
          <cell r="D85"/>
        </row>
        <row r="86">
          <cell r="D86">
            <v>6800</v>
          </cell>
        </row>
        <row r="87">
          <cell r="D87"/>
        </row>
        <row r="89">
          <cell r="D89"/>
        </row>
        <row r="90">
          <cell r="D90">
            <v>14820</v>
          </cell>
        </row>
        <row r="91">
          <cell r="D91"/>
        </row>
        <row r="92">
          <cell r="D92"/>
        </row>
        <row r="94">
          <cell r="D94"/>
        </row>
        <row r="95">
          <cell r="D95">
            <v>2300</v>
          </cell>
        </row>
        <row r="96">
          <cell r="D96"/>
        </row>
        <row r="97">
          <cell r="D97">
            <v>2600</v>
          </cell>
        </row>
        <row r="99">
          <cell r="D99">
            <v>6220</v>
          </cell>
        </row>
        <row r="100">
          <cell r="D100">
            <v>6660</v>
          </cell>
        </row>
        <row r="101">
          <cell r="D101">
            <v>6200</v>
          </cell>
        </row>
        <row r="102">
          <cell r="D102">
            <v>6440</v>
          </cell>
        </row>
        <row r="104">
          <cell r="D104">
            <v>5820</v>
          </cell>
        </row>
        <row r="105">
          <cell r="D105"/>
        </row>
        <row r="106">
          <cell r="D106">
            <v>6700</v>
          </cell>
        </row>
        <row r="107">
          <cell r="D107">
            <v>6200</v>
          </cell>
        </row>
        <row r="109">
          <cell r="D109"/>
        </row>
        <row r="110">
          <cell r="D110">
            <v>15820</v>
          </cell>
        </row>
        <row r="111">
          <cell r="D111">
            <v>15680</v>
          </cell>
        </row>
        <row r="112">
          <cell r="D112">
            <v>16020</v>
          </cell>
        </row>
        <row r="114">
          <cell r="D114">
            <v>9540</v>
          </cell>
        </row>
        <row r="115">
          <cell r="D115">
            <v>10420</v>
          </cell>
        </row>
        <row r="116">
          <cell r="D116">
            <v>9940</v>
          </cell>
        </row>
        <row r="117">
          <cell r="D117"/>
        </row>
        <row r="119">
          <cell r="D119"/>
        </row>
        <row r="120">
          <cell r="D120">
            <v>11320</v>
          </cell>
        </row>
        <row r="121">
          <cell r="D121">
            <v>11240</v>
          </cell>
        </row>
        <row r="122">
          <cell r="D122">
            <v>11420</v>
          </cell>
        </row>
        <row r="124">
          <cell r="D124"/>
        </row>
        <row r="125">
          <cell r="D125">
            <v>12820</v>
          </cell>
        </row>
        <row r="126">
          <cell r="D126">
            <v>13240</v>
          </cell>
        </row>
        <row r="127">
          <cell r="D127">
            <v>13020</v>
          </cell>
        </row>
        <row r="132">
          <cell r="D132">
            <v>1400</v>
          </cell>
        </row>
        <row r="135">
          <cell r="D135">
            <v>2400</v>
          </cell>
        </row>
        <row r="138">
          <cell r="D138">
            <v>1200</v>
          </cell>
        </row>
        <row r="141">
          <cell r="D141">
            <v>1700</v>
          </cell>
        </row>
        <row r="144">
          <cell r="D144">
            <v>1400</v>
          </cell>
        </row>
        <row r="147">
          <cell r="D147">
            <v>1200</v>
          </cell>
        </row>
        <row r="150">
          <cell r="D150">
            <v>1700</v>
          </cell>
        </row>
        <row r="153">
          <cell r="D153">
            <v>3200</v>
          </cell>
        </row>
        <row r="159">
          <cell r="D159">
            <v>1300</v>
          </cell>
        </row>
        <row r="162">
          <cell r="D162">
            <v>2800</v>
          </cell>
        </row>
        <row r="165">
          <cell r="D165"/>
        </row>
        <row r="166">
          <cell r="D166"/>
        </row>
        <row r="167">
          <cell r="D167">
            <v>5700</v>
          </cell>
        </row>
        <row r="168">
          <cell r="D168">
            <v>6000</v>
          </cell>
        </row>
        <row r="170">
          <cell r="D170"/>
        </row>
        <row r="171">
          <cell r="D171"/>
        </row>
        <row r="172">
          <cell r="D172">
            <v>5700</v>
          </cell>
        </row>
        <row r="173">
          <cell r="D173">
            <v>6000</v>
          </cell>
        </row>
        <row r="175">
          <cell r="D175"/>
        </row>
        <row r="176">
          <cell r="D176">
            <v>19620</v>
          </cell>
        </row>
        <row r="177">
          <cell r="D177"/>
        </row>
        <row r="178">
          <cell r="D178"/>
        </row>
        <row r="180">
          <cell r="D180"/>
        </row>
        <row r="181">
          <cell r="D181"/>
        </row>
        <row r="182">
          <cell r="D182">
            <v>6000</v>
          </cell>
        </row>
        <row r="183">
          <cell r="D183">
            <v>6200</v>
          </cell>
        </row>
        <row r="185">
          <cell r="D185"/>
        </row>
        <row r="186">
          <cell r="D186">
            <v>7680</v>
          </cell>
        </row>
        <row r="187">
          <cell r="D187">
            <v>7600</v>
          </cell>
        </row>
        <row r="188">
          <cell r="D188"/>
        </row>
        <row r="190">
          <cell r="D190">
            <v>5820</v>
          </cell>
        </row>
        <row r="191">
          <cell r="D191"/>
        </row>
        <row r="192">
          <cell r="D192">
            <v>6300</v>
          </cell>
        </row>
        <row r="193">
          <cell r="D193"/>
        </row>
        <row r="195">
          <cell r="D195">
            <v>6420</v>
          </cell>
        </row>
        <row r="196">
          <cell r="D196">
            <v>7960</v>
          </cell>
        </row>
        <row r="197">
          <cell r="D197">
            <v>7200</v>
          </cell>
        </row>
        <row r="198">
          <cell r="D198">
            <v>6900</v>
          </cell>
        </row>
        <row r="200">
          <cell r="D200"/>
        </row>
        <row r="201">
          <cell r="D201">
            <v>5260</v>
          </cell>
        </row>
        <row r="202">
          <cell r="D202"/>
        </row>
        <row r="203">
          <cell r="D203"/>
        </row>
        <row r="205">
          <cell r="D205">
            <v>7220</v>
          </cell>
        </row>
        <row r="206">
          <cell r="D206">
            <v>7960</v>
          </cell>
        </row>
        <row r="207">
          <cell r="D207">
            <v>7200</v>
          </cell>
        </row>
        <row r="208">
          <cell r="D208"/>
        </row>
        <row r="210">
          <cell r="D210">
            <v>7720</v>
          </cell>
        </row>
        <row r="211">
          <cell r="D211"/>
        </row>
        <row r="212">
          <cell r="D212">
            <v>7600</v>
          </cell>
        </row>
        <row r="213">
          <cell r="D213">
            <v>8600</v>
          </cell>
        </row>
        <row r="215">
          <cell r="D215"/>
        </row>
        <row r="216">
          <cell r="D216">
            <v>45020</v>
          </cell>
        </row>
        <row r="217">
          <cell r="D217"/>
        </row>
        <row r="218">
          <cell r="D218"/>
        </row>
        <row r="220">
          <cell r="D220"/>
        </row>
        <row r="221">
          <cell r="D221">
            <v>66520</v>
          </cell>
        </row>
        <row r="222">
          <cell r="D222"/>
        </row>
        <row r="223">
          <cell r="D223"/>
        </row>
        <row r="225">
          <cell r="D225"/>
        </row>
        <row r="226">
          <cell r="D226">
            <v>24720</v>
          </cell>
        </row>
        <row r="227">
          <cell r="D227"/>
        </row>
        <row r="228">
          <cell r="D228"/>
        </row>
        <row r="230">
          <cell r="D230">
            <v>5620</v>
          </cell>
        </row>
        <row r="231">
          <cell r="D231"/>
        </row>
        <row r="232">
          <cell r="D232"/>
        </row>
        <row r="233">
          <cell r="D233"/>
        </row>
        <row r="235">
          <cell r="D235"/>
        </row>
        <row r="236">
          <cell r="D236">
            <v>14520</v>
          </cell>
        </row>
        <row r="237">
          <cell r="D237"/>
        </row>
        <row r="238">
          <cell r="D238"/>
        </row>
        <row r="240">
          <cell r="D240">
            <v>15139.98</v>
          </cell>
        </row>
        <row r="241">
          <cell r="D241"/>
        </row>
        <row r="242">
          <cell r="D242"/>
        </row>
        <row r="243">
          <cell r="D243"/>
        </row>
        <row r="245">
          <cell r="D245">
            <v>4920</v>
          </cell>
        </row>
        <row r="246">
          <cell r="D246"/>
        </row>
        <row r="247">
          <cell r="D247"/>
        </row>
        <row r="248">
          <cell r="D248"/>
        </row>
        <row r="250">
          <cell r="D250">
            <v>7320</v>
          </cell>
        </row>
        <row r="251">
          <cell r="D251"/>
        </row>
        <row r="252">
          <cell r="D252"/>
        </row>
        <row r="253">
          <cell r="D253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13C7E-2B55-425C-900A-59E653528803}">
  <dimension ref="A1:M260"/>
  <sheetViews>
    <sheetView tabSelected="1" topLeftCell="A241" workbookViewId="0">
      <selection activeCell="I252" sqref="I252"/>
    </sheetView>
  </sheetViews>
  <sheetFormatPr defaultColWidth="8.7421875" defaultRowHeight="15" x14ac:dyDescent="0.2"/>
  <cols>
    <col min="1" max="1" width="9.14453125" bestFit="1" customWidth="1"/>
    <col min="2" max="2" width="23.13671875" customWidth="1"/>
    <col min="3" max="4" width="10.76171875" customWidth="1"/>
    <col min="5" max="5" width="15.33203125" bestFit="1" customWidth="1"/>
    <col min="6" max="6" width="21.65625" bestFit="1" customWidth="1"/>
    <col min="7" max="7" width="14.66015625" bestFit="1" customWidth="1"/>
    <col min="8" max="9" width="10.76171875" customWidth="1"/>
    <col min="10" max="10" width="9.68359375" customWidth="1"/>
    <col min="11" max="11" width="15.33203125" bestFit="1" customWidth="1"/>
    <col min="12" max="12" width="21.65625" bestFit="1" customWidth="1"/>
    <col min="13" max="13" width="18.6953125" bestFit="1" customWidth="1"/>
  </cols>
  <sheetData>
    <row r="1" spans="1:13" ht="15.75" customHeight="1" thickBot="1" x14ac:dyDescent="0.25">
      <c r="A1" s="1"/>
      <c r="B1" s="35"/>
      <c r="C1" s="36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.75" customHeight="1" thickTop="1" thickBot="1" x14ac:dyDescent="0.25">
      <c r="A2" s="2" t="s">
        <v>0</v>
      </c>
      <c r="B2" s="2" t="s">
        <v>1</v>
      </c>
      <c r="C2" s="37" t="s">
        <v>2</v>
      </c>
      <c r="D2" s="38"/>
      <c r="E2" s="39" t="s">
        <v>3</v>
      </c>
      <c r="F2" s="40"/>
      <c r="G2" s="3" t="s">
        <v>4</v>
      </c>
      <c r="H2" s="41" t="s">
        <v>5</v>
      </c>
      <c r="I2" s="38"/>
      <c r="J2" s="3" t="s">
        <v>6</v>
      </c>
      <c r="K2" s="42" t="s">
        <v>7</v>
      </c>
      <c r="L2" s="43"/>
      <c r="M2" s="2" t="s">
        <v>8</v>
      </c>
    </row>
    <row r="3" spans="1:13" ht="15.75" customHeight="1" thickTop="1" x14ac:dyDescent="0.2">
      <c r="A3" s="27">
        <v>1</v>
      </c>
      <c r="B3" s="30" t="s">
        <v>9</v>
      </c>
      <c r="C3" s="4" t="s">
        <v>10</v>
      </c>
      <c r="D3" s="5"/>
      <c r="E3" s="6">
        <f>(('[1]PURCHASE COST'!D2/12)+(('[1]PURCHASE COST'!D2/12)*3.87%))*D3</f>
        <v>0</v>
      </c>
      <c r="F3" s="31">
        <f>SUM(E3:E7)</f>
        <v>3531.3030133333332</v>
      </c>
      <c r="G3" s="5"/>
      <c r="H3" s="7" t="s">
        <v>10</v>
      </c>
      <c r="I3" s="5"/>
      <c r="J3" s="8"/>
      <c r="K3" s="9"/>
      <c r="L3" s="31">
        <f>K3+K4+K5+K6+K7</f>
        <v>3391.9094733333332</v>
      </c>
      <c r="M3" s="10">
        <f t="shared" ref="M3:M6" si="0">D3-I3</f>
        <v>0</v>
      </c>
    </row>
    <row r="4" spans="1:13" ht="15.75" customHeight="1" x14ac:dyDescent="0.2">
      <c r="A4" s="28"/>
      <c r="B4" s="28"/>
      <c r="C4" s="4" t="s">
        <v>11</v>
      </c>
      <c r="D4" s="11">
        <v>3</v>
      </c>
      <c r="E4" s="6">
        <f>(('[1]PURCHASE COST'!D3/12)+(('[1]PURCHASE COST'!D3/12)*3.87%))*D4</f>
        <v>3484.8384999999998</v>
      </c>
      <c r="F4" s="32"/>
      <c r="G4" s="8"/>
      <c r="H4" s="7" t="s">
        <v>11</v>
      </c>
      <c r="I4" s="11">
        <v>2</v>
      </c>
      <c r="J4" s="8">
        <f t="shared" ref="J4:J5" si="1">(D4+G4)-I4</f>
        <v>1</v>
      </c>
      <c r="K4" s="6">
        <f>(('[1]PURCHASE COST'!D3/12)+(('[1]PURCHASE COST'!D3/12)*3.87%))*I4</f>
        <v>2323.2256666666667</v>
      </c>
      <c r="L4" s="32"/>
      <c r="M4" s="12">
        <f t="shared" si="0"/>
        <v>1</v>
      </c>
    </row>
    <row r="5" spans="1:13" ht="15.75" customHeight="1" x14ac:dyDescent="0.2">
      <c r="A5" s="28"/>
      <c r="B5" s="28"/>
      <c r="C5" s="13" t="s">
        <v>12</v>
      </c>
      <c r="D5" s="11"/>
      <c r="E5" s="6">
        <f>(('[1]PURCHASE COST'!D4/18)+(('[1]PURCHASE COST'!D4/18)*3.87%))*D5</f>
        <v>0</v>
      </c>
      <c r="F5" s="32"/>
      <c r="G5" s="8"/>
      <c r="H5" s="14" t="s">
        <v>12</v>
      </c>
      <c r="I5" s="11"/>
      <c r="J5" s="8">
        <f t="shared" si="1"/>
        <v>0</v>
      </c>
      <c r="K5" s="6">
        <f>(('[1]PURCHASE COST'!D4/18)+(('[1]PURCHASE COST'!D4/18)*3.87%))*I5</f>
        <v>0</v>
      </c>
      <c r="L5" s="32"/>
      <c r="M5" s="12">
        <f t="shared" si="0"/>
        <v>0</v>
      </c>
    </row>
    <row r="6" spans="1:13" ht="15.75" customHeight="1" x14ac:dyDescent="0.2">
      <c r="A6" s="28"/>
      <c r="B6" s="28"/>
      <c r="C6" s="13" t="s">
        <v>13</v>
      </c>
      <c r="D6" s="11"/>
      <c r="E6" s="6">
        <f>(('[1]PURCHASE COST'!D5/24)+(('[1]PURCHASE COST'!D5/24)*3.87%))*D6</f>
        <v>0</v>
      </c>
      <c r="F6" s="32"/>
      <c r="G6" s="8"/>
      <c r="H6" s="14" t="s">
        <v>13</v>
      </c>
      <c r="I6" s="11"/>
      <c r="J6" s="8">
        <f>(D6+G6)-I6</f>
        <v>0</v>
      </c>
      <c r="K6" s="6">
        <f>(('[1]PURCHASE COST'!D5/24)+(('[1]PURCHASE COST'!D5/24)*3.87%))*I6</f>
        <v>0</v>
      </c>
      <c r="L6" s="32"/>
      <c r="M6" s="12">
        <f t="shared" si="0"/>
        <v>0</v>
      </c>
    </row>
    <row r="7" spans="1:13" ht="15.75" customHeight="1" thickBot="1" x14ac:dyDescent="0.25">
      <c r="A7" s="29"/>
      <c r="B7" s="29"/>
      <c r="C7" s="13" t="s">
        <v>14</v>
      </c>
      <c r="D7" s="11">
        <v>0.5</v>
      </c>
      <c r="E7" s="6">
        <f>((('[1]PURCHASE COST'!D3/12)+(('[1]PURCHASE COST'!D3/12)*3.87%))/12.5)*D7</f>
        <v>46.464513333333336</v>
      </c>
      <c r="F7" s="33"/>
      <c r="G7" s="8"/>
      <c r="H7" s="14" t="s">
        <v>14</v>
      </c>
      <c r="I7" s="11">
        <v>11.5</v>
      </c>
      <c r="J7" s="8">
        <f>((((D4+G4)-I4)*12.5)+D7)-I7</f>
        <v>1.5</v>
      </c>
      <c r="K7" s="15">
        <f>((('[1]PURCHASE COST'!D3/12)+(('[1]PURCHASE COST'!D3/12)*3.87%))/12.5)*I7</f>
        <v>1068.6838066666667</v>
      </c>
      <c r="L7" s="34"/>
      <c r="M7" s="12"/>
    </row>
    <row r="8" spans="1:13" ht="15.75" customHeight="1" thickTop="1" x14ac:dyDescent="0.2">
      <c r="A8" s="27">
        <v>2</v>
      </c>
      <c r="B8" s="30" t="s">
        <v>15</v>
      </c>
      <c r="C8" s="4" t="s">
        <v>10</v>
      </c>
      <c r="D8" s="11">
        <v>115</v>
      </c>
      <c r="E8" s="9">
        <f>(('[1]PURCHASE COST'!D7/9)+(('[1]PURCHASE COST'!D7/9)*3.87%))*D8</f>
        <v>89189.706666666651</v>
      </c>
      <c r="F8" s="31">
        <f>SUM(E8:E12)</f>
        <v>103036.73177777776</v>
      </c>
      <c r="G8" s="5"/>
      <c r="H8" s="7" t="s">
        <v>10</v>
      </c>
      <c r="I8" s="11">
        <v>110</v>
      </c>
      <c r="J8" s="8"/>
      <c r="K8" s="9">
        <f>(('[1]PURCHASE COST'!D7/9)+(('[1]PURCHASE COST'!D7/9)*3.87%))*I8</f>
        <v>85311.893333333326</v>
      </c>
      <c r="L8" s="31">
        <f>K8+K9+K10+K11+K12</f>
        <v>99252.92604040404</v>
      </c>
      <c r="M8" s="10">
        <f t="shared" ref="M8:M21" si="2">D8-I8</f>
        <v>5</v>
      </c>
    </row>
    <row r="9" spans="1:13" ht="15.75" customHeight="1" x14ac:dyDescent="0.2">
      <c r="A9" s="28"/>
      <c r="B9" s="28"/>
      <c r="C9" s="4" t="s">
        <v>11</v>
      </c>
      <c r="D9" s="11"/>
      <c r="E9" s="6">
        <f>(('[1]PURCHASE COST'!D8/12)+(('[1]PURCHASE COST'!D8/12)*3.87%))*D9</f>
        <v>0</v>
      </c>
      <c r="F9" s="32"/>
      <c r="G9" s="8"/>
      <c r="H9" s="7" t="s">
        <v>11</v>
      </c>
      <c r="I9" s="11"/>
      <c r="J9" s="8">
        <f t="shared" ref="J9:J11" si="3">(D9+G9)-I9</f>
        <v>0</v>
      </c>
      <c r="K9" s="6">
        <f>(('[1]PURCHASE COST'!D8/12)+(('[1]PURCHASE COST'!D8/12)*3.87%))*I9</f>
        <v>0</v>
      </c>
      <c r="L9" s="32"/>
      <c r="M9" s="12">
        <f t="shared" si="2"/>
        <v>0</v>
      </c>
    </row>
    <row r="10" spans="1:13" ht="15.75" customHeight="1" x14ac:dyDescent="0.2">
      <c r="A10" s="28"/>
      <c r="B10" s="28"/>
      <c r="C10" s="13" t="s">
        <v>12</v>
      </c>
      <c r="D10" s="11">
        <v>35</v>
      </c>
      <c r="E10" s="6">
        <f>(('[1]PURCHASE COST'!D9/18)+(('[1]PURCHASE COST'!D9/18)*3.87%))*D10</f>
        <v>13329.983333333334</v>
      </c>
      <c r="F10" s="32"/>
      <c r="G10" s="8"/>
      <c r="H10" s="14" t="s">
        <v>12</v>
      </c>
      <c r="I10" s="11">
        <v>35</v>
      </c>
      <c r="J10" s="8">
        <f t="shared" si="3"/>
        <v>0</v>
      </c>
      <c r="K10" s="6">
        <f>(('[1]PURCHASE COST'!D9/18)+(('[1]PURCHASE COST'!D9/18)*3.87%))*I10</f>
        <v>13329.983333333334</v>
      </c>
      <c r="L10" s="32"/>
      <c r="M10" s="12">
        <f t="shared" si="2"/>
        <v>0</v>
      </c>
    </row>
    <row r="11" spans="1:13" ht="15.75" customHeight="1" x14ac:dyDescent="0.2">
      <c r="A11" s="28"/>
      <c r="B11" s="28"/>
      <c r="C11" s="13" t="s">
        <v>13</v>
      </c>
      <c r="D11" s="11">
        <v>40</v>
      </c>
      <c r="E11" s="6">
        <f>(('[1]PURCHASE COST'!D10/24)+(('[1]PURCHASE COST'!D10/24)*3.87%))*D11</f>
        <v>0</v>
      </c>
      <c r="F11" s="32"/>
      <c r="G11" s="8"/>
      <c r="H11" s="14" t="s">
        <v>13</v>
      </c>
      <c r="I11" s="11">
        <v>39</v>
      </c>
      <c r="J11" s="8">
        <f t="shared" si="3"/>
        <v>1</v>
      </c>
      <c r="K11" s="6">
        <f>(('[1]PURCHASE COST'!D10/24)+(('[1]PURCHASE COST'!D10/24)*3.87%))*I11</f>
        <v>0</v>
      </c>
      <c r="L11" s="32"/>
      <c r="M11" s="12">
        <f t="shared" si="2"/>
        <v>1</v>
      </c>
    </row>
    <row r="12" spans="1:13" ht="15.75" customHeight="1" thickBot="1" x14ac:dyDescent="0.25">
      <c r="A12" s="29"/>
      <c r="B12" s="29"/>
      <c r="C12" s="13" t="s">
        <v>14</v>
      </c>
      <c r="D12" s="11">
        <v>11</v>
      </c>
      <c r="E12" s="6">
        <f>((('[1]PURCHASE COST'!D7/9)+(('[1]PURCHASE COST'!D7/9)*3.87%))/16.5)*D12</f>
        <v>517.04177777777772</v>
      </c>
      <c r="F12" s="33"/>
      <c r="G12" s="8"/>
      <c r="H12" s="14" t="s">
        <v>14</v>
      </c>
      <c r="I12" s="11">
        <v>13</v>
      </c>
      <c r="J12" s="8">
        <f t="shared" ref="J12" si="4">((((D8+G8)-I8)*16.5)+D12)-I12</f>
        <v>80.5</v>
      </c>
      <c r="K12" s="15">
        <f>((('[1]PURCHASE COST'!D7/9)+(('[1]PURCHASE COST'!D7/9)*3.87%))/16.5)*I12</f>
        <v>611.04937373737368</v>
      </c>
      <c r="L12" s="34"/>
      <c r="M12" s="12">
        <f t="shared" si="2"/>
        <v>-2</v>
      </c>
    </row>
    <row r="13" spans="1:13" ht="15.75" customHeight="1" thickTop="1" x14ac:dyDescent="0.2">
      <c r="A13" s="27">
        <v>3</v>
      </c>
      <c r="B13" s="30" t="s">
        <v>16</v>
      </c>
      <c r="C13" s="4" t="s">
        <v>10</v>
      </c>
      <c r="D13" s="11">
        <v>118</v>
      </c>
      <c r="E13" s="9">
        <f>(('[1]PURCHASE COST'!D12/9)+(('[1]PURCHASE COST'!D12/9)*3.87%))*D13</f>
        <v>87430.84133333333</v>
      </c>
      <c r="F13" s="31">
        <f>SUM(E13:E17)</f>
        <v>89899.38008080807</v>
      </c>
      <c r="G13" s="5"/>
      <c r="H13" s="7" t="s">
        <v>10</v>
      </c>
      <c r="I13" s="11">
        <v>113</v>
      </c>
      <c r="J13" s="8"/>
      <c r="K13" s="9">
        <f>(('[1]PURCHASE COST'!D12/9)+(('[1]PURCHASE COST'!D12/9)*3.87%))*I13</f>
        <v>83726.144666666674</v>
      </c>
      <c r="L13" s="31">
        <f>K13+K14+K15+K16+K17</f>
        <v>86688.642969696972</v>
      </c>
      <c r="M13" s="10">
        <f t="shared" si="2"/>
        <v>5</v>
      </c>
    </row>
    <row r="14" spans="1:13" ht="15.75" customHeight="1" x14ac:dyDescent="0.2">
      <c r="A14" s="28"/>
      <c r="B14" s="28"/>
      <c r="C14" s="4" t="s">
        <v>11</v>
      </c>
      <c r="D14" s="11"/>
      <c r="E14" s="6">
        <f>(('[1]PURCHASE COST'!D13/12)+(('[1]PURCHASE COST'!D13/12)*3.87%))*D14</f>
        <v>0</v>
      </c>
      <c r="F14" s="32"/>
      <c r="G14" s="8"/>
      <c r="H14" s="7" t="s">
        <v>11</v>
      </c>
      <c r="I14" s="11"/>
      <c r="J14" s="8">
        <f t="shared" ref="J14:J16" si="5">(D14+G14)-I14</f>
        <v>0</v>
      </c>
      <c r="K14" s="6">
        <f>(('[1]PURCHASE COST'!D13/12)+(('[1]PURCHASE COST'!D13/12)*3.87%))*I14</f>
        <v>0</v>
      </c>
      <c r="L14" s="32"/>
      <c r="M14" s="12">
        <f t="shared" si="2"/>
        <v>0</v>
      </c>
    </row>
    <row r="15" spans="1:13" ht="15.75" customHeight="1" x14ac:dyDescent="0.2">
      <c r="A15" s="28"/>
      <c r="B15" s="28"/>
      <c r="C15" s="13" t="s">
        <v>12</v>
      </c>
      <c r="D15" s="11"/>
      <c r="E15" s="6">
        <f>(('[1]PURCHASE COST'!D14/18)+(('[1]PURCHASE COST'!D14/18)*3.87%))*D15</f>
        <v>0</v>
      </c>
      <c r="F15" s="32"/>
      <c r="G15" s="8"/>
      <c r="H15" s="14" t="s">
        <v>12</v>
      </c>
      <c r="I15" s="11"/>
      <c r="J15" s="8">
        <f t="shared" si="5"/>
        <v>0</v>
      </c>
      <c r="K15" s="6">
        <f>(('[1]PURCHASE COST'!D14/18)+(('[1]PURCHASE COST'!D14/18)*3.87%))*I15</f>
        <v>0</v>
      </c>
      <c r="L15" s="32"/>
      <c r="M15" s="12">
        <f t="shared" si="2"/>
        <v>0</v>
      </c>
    </row>
    <row r="16" spans="1:13" ht="15.75" customHeight="1" x14ac:dyDescent="0.2">
      <c r="A16" s="28"/>
      <c r="B16" s="28"/>
      <c r="C16" s="13" t="s">
        <v>13</v>
      </c>
      <c r="D16" s="11">
        <v>8</v>
      </c>
      <c r="E16" s="6">
        <f>(('[1]PURCHASE COST'!D15/24)+(('[1]PURCHASE COST'!D15/24)*3.87%))*D16</f>
        <v>2423.6333333333337</v>
      </c>
      <c r="F16" s="32"/>
      <c r="G16" s="8"/>
      <c r="H16" s="14" t="s">
        <v>13</v>
      </c>
      <c r="I16" s="11">
        <v>8</v>
      </c>
      <c r="J16" s="8">
        <f t="shared" si="5"/>
        <v>0</v>
      </c>
      <c r="K16" s="6">
        <f>(('[1]PURCHASE COST'!D15/24)+(('[1]PURCHASE COST'!D15/24)*3.87%))*I16</f>
        <v>2423.6333333333337</v>
      </c>
      <c r="L16" s="32"/>
      <c r="M16" s="12">
        <f t="shared" si="2"/>
        <v>0</v>
      </c>
    </row>
    <row r="17" spans="1:13" ht="15.75" customHeight="1" thickBot="1" x14ac:dyDescent="0.25">
      <c r="A17" s="29"/>
      <c r="B17" s="29"/>
      <c r="C17" s="13" t="s">
        <v>14</v>
      </c>
      <c r="D17" s="11">
        <v>1</v>
      </c>
      <c r="E17" s="6">
        <f>((('[1]PURCHASE COST'!D12/9)+(('[1]PURCHASE COST'!D12/9)*3.87%))/16.5)*D17</f>
        <v>44.905414141414141</v>
      </c>
      <c r="F17" s="33"/>
      <c r="G17" s="8"/>
      <c r="H17" s="14" t="s">
        <v>14</v>
      </c>
      <c r="I17" s="11">
        <v>12</v>
      </c>
      <c r="J17" s="8">
        <f t="shared" ref="J17" si="6">((((D13+G13)-I13)*16.5)+D17)-I17</f>
        <v>71.5</v>
      </c>
      <c r="K17" s="15">
        <f>((('[1]PURCHASE COST'!D12/9)+(('[1]PURCHASE COST'!D12/9)*3.87%))/16.5)*I17</f>
        <v>538.86496969696964</v>
      </c>
      <c r="L17" s="34"/>
      <c r="M17" s="12"/>
    </row>
    <row r="18" spans="1:13" ht="15.75" customHeight="1" thickTop="1" x14ac:dyDescent="0.2">
      <c r="A18" s="27">
        <v>4</v>
      </c>
      <c r="B18" s="30" t="s">
        <v>17</v>
      </c>
      <c r="C18" s="4" t="s">
        <v>10</v>
      </c>
      <c r="D18" s="11">
        <v>18</v>
      </c>
      <c r="E18" s="9">
        <f>(('[1]PURCHASE COST'!D17/9)+(('[1]PURCHASE COST'!D17/9)*3.87%))*D18</f>
        <v>17117.776000000002</v>
      </c>
      <c r="F18" s="31">
        <f>SUM(E18:E22)</f>
        <v>33637.608781986535</v>
      </c>
      <c r="G18" s="5"/>
      <c r="H18" s="7" t="s">
        <v>10</v>
      </c>
      <c r="I18" s="11">
        <v>18</v>
      </c>
      <c r="J18" s="8"/>
      <c r="K18" s="9">
        <f>(('[1]PURCHASE COST'!D17/9)+(('[1]PURCHASE COST'!D17/9)*3.87%))*I18</f>
        <v>17117.776000000002</v>
      </c>
      <c r="L18" s="31">
        <f>K18+K19+K20+K21+K22</f>
        <v>33090.070492424245</v>
      </c>
      <c r="M18" s="10">
        <f t="shared" si="2"/>
        <v>0</v>
      </c>
    </row>
    <row r="19" spans="1:13" ht="15.75" customHeight="1" x14ac:dyDescent="0.2">
      <c r="A19" s="28"/>
      <c r="B19" s="28"/>
      <c r="C19" s="4" t="s">
        <v>11</v>
      </c>
      <c r="D19" s="11"/>
      <c r="E19" s="6">
        <f>(('[1]PURCHASE COST'!D18/12)+(('[1]PURCHASE COST'!D18/12)*3.87%))*D19</f>
        <v>0</v>
      </c>
      <c r="F19" s="32"/>
      <c r="G19" s="8"/>
      <c r="H19" s="7" t="s">
        <v>11</v>
      </c>
      <c r="I19" s="11"/>
      <c r="J19" s="8">
        <f t="shared" ref="J19:J21" si="7">(D19+G19)-I19</f>
        <v>0</v>
      </c>
      <c r="K19" s="6">
        <f>(('[1]PURCHASE COST'!D18/12)+(('[1]PURCHASE COST'!D18/12)*3.87%))*I19</f>
        <v>0</v>
      </c>
      <c r="L19" s="32"/>
      <c r="M19" s="12">
        <f t="shared" si="2"/>
        <v>0</v>
      </c>
    </row>
    <row r="20" spans="1:13" ht="15.75" customHeight="1" x14ac:dyDescent="0.2">
      <c r="A20" s="28"/>
      <c r="B20" s="28"/>
      <c r="C20" s="13" t="s">
        <v>12</v>
      </c>
      <c r="D20" s="11">
        <v>14</v>
      </c>
      <c r="E20" s="6">
        <f>(('[1]PURCHASE COST'!D19/18)+(('[1]PURCHASE COST'!D19/18)*3.87%))*D20</f>
        <v>6980.0640000000003</v>
      </c>
      <c r="F20" s="32"/>
      <c r="G20" s="8"/>
      <c r="H20" s="14" t="s">
        <v>12</v>
      </c>
      <c r="I20" s="11">
        <v>14</v>
      </c>
      <c r="J20" s="8">
        <f t="shared" si="7"/>
        <v>0</v>
      </c>
      <c r="K20" s="6">
        <f>(('[1]PURCHASE COST'!D19/18)+(('[1]PURCHASE COST'!D19/18)*3.87%))*I20</f>
        <v>6980.0640000000003</v>
      </c>
      <c r="L20" s="32"/>
      <c r="M20" s="12">
        <f t="shared" si="2"/>
        <v>0</v>
      </c>
    </row>
    <row r="21" spans="1:13" ht="15.75" customHeight="1" x14ac:dyDescent="0.2">
      <c r="A21" s="28"/>
      <c r="B21" s="28"/>
      <c r="C21" s="13" t="s">
        <v>13</v>
      </c>
      <c r="D21" s="11">
        <v>19</v>
      </c>
      <c r="E21" s="6">
        <f>(('[1]PURCHASE COST'!D20/24)+(('[1]PURCHASE COST'!D20/24)*3.87%))*D21</f>
        <v>8732.8702499999999</v>
      </c>
      <c r="F21" s="32"/>
      <c r="G21" s="8"/>
      <c r="H21" s="14" t="s">
        <v>13</v>
      </c>
      <c r="I21" s="11">
        <v>19</v>
      </c>
      <c r="J21" s="8">
        <f t="shared" si="7"/>
        <v>0</v>
      </c>
      <c r="K21" s="6">
        <f>(('[1]PURCHASE COST'!D20/24)+(('[1]PURCHASE COST'!D20/24)*3.87%))*I21</f>
        <v>8732.8702499999999</v>
      </c>
      <c r="L21" s="32"/>
      <c r="M21" s="12">
        <f t="shared" si="2"/>
        <v>0</v>
      </c>
    </row>
    <row r="22" spans="1:13" ht="15.75" customHeight="1" thickBot="1" x14ac:dyDescent="0.25">
      <c r="A22" s="29"/>
      <c r="B22" s="29"/>
      <c r="C22" s="13" t="s">
        <v>14</v>
      </c>
      <c r="D22" s="11">
        <v>14</v>
      </c>
      <c r="E22" s="6">
        <f>((('[1]PURCHASE COST'!D17/9)+(('[1]PURCHASE COST'!D17/9)*3.87%))/16.5)*D22</f>
        <v>806.89853198653202</v>
      </c>
      <c r="F22" s="33"/>
      <c r="G22" s="8"/>
      <c r="H22" s="14" t="s">
        <v>14</v>
      </c>
      <c r="I22" s="11">
        <v>4.5</v>
      </c>
      <c r="J22" s="8">
        <f t="shared" ref="J22" si="8">((((D18+G18)-I18)*16.5)+D22)-I22</f>
        <v>9.5</v>
      </c>
      <c r="K22" s="15">
        <f>((('[1]PURCHASE COST'!D17/9)+(('[1]PURCHASE COST'!D17/9)*3.87%))/16.5)*I22</f>
        <v>259.36024242424241</v>
      </c>
      <c r="L22" s="34"/>
      <c r="M22" s="12"/>
    </row>
    <row r="23" spans="1:13" ht="15.75" customHeight="1" thickTop="1" x14ac:dyDescent="0.2">
      <c r="A23" s="27">
        <v>5</v>
      </c>
      <c r="B23" s="30" t="s">
        <v>18</v>
      </c>
      <c r="C23" s="4" t="s">
        <v>10</v>
      </c>
      <c r="D23" s="11"/>
      <c r="E23" s="9">
        <f>(('[1]PURCHASE COST'!D22/9)+(('[1]PURCHASE COST'!D22/9)*3.87%))*D23</f>
        <v>0</v>
      </c>
      <c r="F23" s="31">
        <f>SUM(E23:E27)</f>
        <v>1217.8670067340065</v>
      </c>
      <c r="G23" s="5"/>
      <c r="H23" s="7" t="s">
        <v>10</v>
      </c>
      <c r="I23" s="11"/>
      <c r="J23" s="8">
        <f t="shared" ref="J23:J26" si="9">(D23+G23)-I23</f>
        <v>0</v>
      </c>
      <c r="K23" s="9">
        <f>(('[1]PURCHASE COST'!D22/9)+(('[1]PURCHASE COST'!D22/9)*3.87%))*I23</f>
        <v>0</v>
      </c>
      <c r="L23" s="31">
        <f>K23+K24+K25+K26+K27</f>
        <v>1217.8670067340065</v>
      </c>
      <c r="M23" s="10">
        <f t="shared" ref="M23:M26" si="10">D23-I23</f>
        <v>0</v>
      </c>
    </row>
    <row r="24" spans="1:13" ht="15.75" customHeight="1" x14ac:dyDescent="0.2">
      <c r="A24" s="28"/>
      <c r="B24" s="28"/>
      <c r="C24" s="4" t="s">
        <v>11</v>
      </c>
      <c r="D24" s="11"/>
      <c r="E24" s="6">
        <f>(('[1]PURCHASE COST'!D23/12)+(('[1]PURCHASE COST'!D23/12)*3.87%))*D24</f>
        <v>0</v>
      </c>
      <c r="F24" s="32"/>
      <c r="G24" s="8"/>
      <c r="H24" s="7" t="s">
        <v>11</v>
      </c>
      <c r="I24" s="11"/>
      <c r="J24" s="8">
        <f t="shared" si="9"/>
        <v>0</v>
      </c>
      <c r="K24" s="6">
        <f>(('[1]PURCHASE COST'!D23/12)+(('[1]PURCHASE COST'!D23/12)*3.87%))*I24</f>
        <v>0</v>
      </c>
      <c r="L24" s="32"/>
      <c r="M24" s="12">
        <f t="shared" si="10"/>
        <v>0</v>
      </c>
    </row>
    <row r="25" spans="1:13" ht="15.75" customHeight="1" x14ac:dyDescent="0.2">
      <c r="A25" s="28"/>
      <c r="B25" s="28"/>
      <c r="C25" s="13" t="s">
        <v>12</v>
      </c>
      <c r="D25" s="11">
        <v>3</v>
      </c>
      <c r="E25" s="6">
        <f>(('[1]PURCHASE COST'!D24/18)+(('[1]PURCHASE COST'!D24/18)*3.87%))*D25</f>
        <v>1125.2583333333332</v>
      </c>
      <c r="F25" s="32"/>
      <c r="G25" s="8"/>
      <c r="H25" s="14" t="s">
        <v>12</v>
      </c>
      <c r="I25" s="11">
        <v>3</v>
      </c>
      <c r="J25" s="8">
        <f t="shared" si="9"/>
        <v>0</v>
      </c>
      <c r="K25" s="6">
        <f>(('[1]PURCHASE COST'!D24/18)+(('[1]PURCHASE COST'!D24/18)*3.87%))*I25</f>
        <v>1125.2583333333332</v>
      </c>
      <c r="L25" s="32"/>
      <c r="M25" s="12">
        <f t="shared" si="10"/>
        <v>0</v>
      </c>
    </row>
    <row r="26" spans="1:13" ht="15.75" customHeight="1" x14ac:dyDescent="0.2">
      <c r="A26" s="28"/>
      <c r="B26" s="28"/>
      <c r="C26" s="13" t="s">
        <v>13</v>
      </c>
      <c r="D26" s="11"/>
      <c r="E26" s="6">
        <f>(('[1]PURCHASE COST'!D25/24)+(('[1]PURCHASE COST'!D25/24)*3.87%))*D26</f>
        <v>0</v>
      </c>
      <c r="F26" s="32"/>
      <c r="G26" s="8"/>
      <c r="H26" s="14" t="s">
        <v>13</v>
      </c>
      <c r="I26" s="11"/>
      <c r="J26" s="8">
        <f t="shared" si="9"/>
        <v>0</v>
      </c>
      <c r="K26" s="6">
        <f>(('[1]PURCHASE COST'!D25/24)+(('[1]PURCHASE COST'!D25/24)*3.87%))*I26</f>
        <v>0</v>
      </c>
      <c r="L26" s="32"/>
      <c r="M26" s="12">
        <f t="shared" si="10"/>
        <v>0</v>
      </c>
    </row>
    <row r="27" spans="1:13" ht="15.75" customHeight="1" thickBot="1" x14ac:dyDescent="0.25">
      <c r="A27" s="29"/>
      <c r="B27" s="29"/>
      <c r="C27" s="13" t="s">
        <v>14</v>
      </c>
      <c r="D27" s="11">
        <v>2</v>
      </c>
      <c r="E27" s="6">
        <f>((('[1]PURCHASE COST'!D22/9)+(('[1]PURCHASE COST'!D22/9)*3.87%))/16.5)*D27</f>
        <v>92.608673400673396</v>
      </c>
      <c r="F27" s="33"/>
      <c r="G27" s="8"/>
      <c r="H27" s="14" t="s">
        <v>14</v>
      </c>
      <c r="I27" s="11">
        <v>2</v>
      </c>
      <c r="J27" s="8">
        <f t="shared" ref="J27" si="11">((((D23+G23)-I23)*16.5)+D27)-I27</f>
        <v>0</v>
      </c>
      <c r="K27" s="15">
        <f>((('[1]PURCHASE COST'!D22/9)+(('[1]PURCHASE COST'!D22/9)*3.87%))/16.5)*I27</f>
        <v>92.608673400673396</v>
      </c>
      <c r="L27" s="34"/>
      <c r="M27" s="12"/>
    </row>
    <row r="28" spans="1:13" ht="15.75" customHeight="1" thickTop="1" x14ac:dyDescent="0.2">
      <c r="A28" s="27">
        <v>6</v>
      </c>
      <c r="B28" s="30" t="s">
        <v>19</v>
      </c>
      <c r="C28" s="4" t="s">
        <v>10</v>
      </c>
      <c r="D28" s="11">
        <v>33</v>
      </c>
      <c r="E28" s="9">
        <f>(('[1]PURCHASE COST'!D27/9)+(('[1]PURCHASE COST'!D27/9)*3.87%))*D28</f>
        <v>28259.564666666665</v>
      </c>
      <c r="F28" s="31">
        <f>SUM(E28:E32)</f>
        <v>28337.414707070704</v>
      </c>
      <c r="G28" s="5"/>
      <c r="H28" s="7" t="s">
        <v>10</v>
      </c>
      <c r="I28" s="11">
        <v>32</v>
      </c>
      <c r="J28" s="8">
        <f t="shared" ref="J28:J31" si="12">(D28+G28)-I28</f>
        <v>1</v>
      </c>
      <c r="K28" s="9">
        <f>(('[1]PURCHASE COST'!D27/9)+(('[1]PURCHASE COST'!D27/9)*3.87%))*I28</f>
        <v>27403.214222222221</v>
      </c>
      <c r="L28" s="31">
        <f>K28+K29+K30+K31+K32</f>
        <v>27922.21449158249</v>
      </c>
      <c r="M28" s="10">
        <f t="shared" ref="M28:M31" si="13">D28-I28</f>
        <v>1</v>
      </c>
    </row>
    <row r="29" spans="1:13" ht="15.75" customHeight="1" x14ac:dyDescent="0.2">
      <c r="A29" s="28"/>
      <c r="B29" s="28"/>
      <c r="C29" s="4" t="s">
        <v>11</v>
      </c>
      <c r="D29" s="11"/>
      <c r="E29" s="6">
        <f>(('[1]PURCHASE COST'!D28/12)+(('[1]PURCHASE COST'!D28/12)*3.87%))*D29</f>
        <v>0</v>
      </c>
      <c r="F29" s="32"/>
      <c r="G29" s="8"/>
      <c r="H29" s="7" t="s">
        <v>11</v>
      </c>
      <c r="I29" s="11"/>
      <c r="J29" s="8">
        <f t="shared" si="12"/>
        <v>0</v>
      </c>
      <c r="K29" s="6">
        <f>(('[1]PURCHASE COST'!D28/12)+(('[1]PURCHASE COST'!D28/12)*3.87%))*I29</f>
        <v>0</v>
      </c>
      <c r="L29" s="32"/>
      <c r="M29" s="12">
        <f t="shared" si="13"/>
        <v>0</v>
      </c>
    </row>
    <row r="30" spans="1:13" ht="15.75" customHeight="1" x14ac:dyDescent="0.2">
      <c r="A30" s="28"/>
      <c r="B30" s="28"/>
      <c r="C30" s="13" t="s">
        <v>12</v>
      </c>
      <c r="D30" s="11"/>
      <c r="E30" s="6">
        <f>(('[1]PURCHASE COST'!D29/18)+(('[1]PURCHASE COST'!D29/18)*3.87%))*D30</f>
        <v>0</v>
      </c>
      <c r="F30" s="32"/>
      <c r="G30" s="8"/>
      <c r="H30" s="14" t="s">
        <v>12</v>
      </c>
      <c r="I30" s="11"/>
      <c r="J30" s="8">
        <f t="shared" si="12"/>
        <v>0</v>
      </c>
      <c r="K30" s="6">
        <f>(('[1]PURCHASE COST'!D29/18)+(('[1]PURCHASE COST'!D29/18)*3.87%))*I30</f>
        <v>0</v>
      </c>
      <c r="L30" s="32"/>
      <c r="M30" s="12">
        <f t="shared" si="13"/>
        <v>0</v>
      </c>
    </row>
    <row r="31" spans="1:13" ht="15.75" customHeight="1" x14ac:dyDescent="0.2">
      <c r="A31" s="28"/>
      <c r="B31" s="28"/>
      <c r="C31" s="13" t="s">
        <v>13</v>
      </c>
      <c r="D31" s="11"/>
      <c r="E31" s="6">
        <f>(('[1]PURCHASE COST'!D30/24)+(('[1]PURCHASE COST'!D30/24)*3.87%))*D31</f>
        <v>0</v>
      </c>
      <c r="F31" s="32"/>
      <c r="G31" s="8"/>
      <c r="H31" s="14" t="s">
        <v>13</v>
      </c>
      <c r="I31" s="11"/>
      <c r="J31" s="8">
        <f t="shared" si="12"/>
        <v>0</v>
      </c>
      <c r="K31" s="6">
        <f>(('[1]PURCHASE COST'!D30/24)+(('[1]PURCHASE COST'!D30/24)*3.87%))*I31</f>
        <v>0</v>
      </c>
      <c r="L31" s="32"/>
      <c r="M31" s="12">
        <f t="shared" si="13"/>
        <v>0</v>
      </c>
    </row>
    <row r="32" spans="1:13" ht="15.75" customHeight="1" thickBot="1" x14ac:dyDescent="0.25">
      <c r="A32" s="29"/>
      <c r="B32" s="29"/>
      <c r="C32" s="13" t="s">
        <v>14</v>
      </c>
      <c r="D32" s="11">
        <v>1.5</v>
      </c>
      <c r="E32" s="6">
        <f>((('[1]PURCHASE COST'!D27/9)+(('[1]PURCHASE COST'!D27/9)*3.87%))/16.5)*D32</f>
        <v>77.850040404040399</v>
      </c>
      <c r="F32" s="33"/>
      <c r="G32" s="8"/>
      <c r="H32" s="14" t="s">
        <v>14</v>
      </c>
      <c r="I32" s="11">
        <v>10</v>
      </c>
      <c r="J32" s="8">
        <f t="shared" ref="J32" si="14">((((D28+G28)-I28)*16.5)+D32)-I32</f>
        <v>8</v>
      </c>
      <c r="K32" s="15">
        <f>((('[1]PURCHASE COST'!D27/9)+(('[1]PURCHASE COST'!D27/9)*3.87%))/16.5)*I32</f>
        <v>519.00026936026939</v>
      </c>
      <c r="L32" s="34"/>
      <c r="M32" s="12"/>
    </row>
    <row r="33" spans="1:13" ht="15.75" customHeight="1" thickTop="1" x14ac:dyDescent="0.2">
      <c r="A33" s="27">
        <v>7</v>
      </c>
      <c r="B33" s="30" t="s">
        <v>20</v>
      </c>
      <c r="C33" s="4" t="s">
        <v>10</v>
      </c>
      <c r="D33" s="11">
        <v>24</v>
      </c>
      <c r="E33" s="9">
        <f>(('[1]PURCHASE COST'!D32/9)+(('[1]PURCHASE COST'!D32/9)*3.87%))*D33</f>
        <v>18613.503999999997</v>
      </c>
      <c r="F33" s="31">
        <f>SUM(E33:E37)</f>
        <v>26742.09216414141</v>
      </c>
      <c r="G33" s="5"/>
      <c r="H33" s="7" t="s">
        <v>10</v>
      </c>
      <c r="I33" s="11">
        <v>23</v>
      </c>
      <c r="J33" s="8">
        <f t="shared" ref="J33:J36" si="15">(D33+G33)-I33</f>
        <v>1</v>
      </c>
      <c r="K33" s="16">
        <f>(('[1]PURCHASE COST'!D32/9)+(('[1]PURCHASE COST'!D32/9)*3.87%))*I33</f>
        <v>17837.941333333332</v>
      </c>
      <c r="L33" s="44">
        <f>K33+K34+K35+K36+K37</f>
        <v>26131.042790404037</v>
      </c>
      <c r="M33" s="17">
        <f t="shared" ref="M33:M41" si="16">D33-I33</f>
        <v>1</v>
      </c>
    </row>
    <row r="34" spans="1:13" ht="15.75" customHeight="1" x14ac:dyDescent="0.2">
      <c r="A34" s="28"/>
      <c r="B34" s="28"/>
      <c r="C34" s="4" t="s">
        <v>11</v>
      </c>
      <c r="D34" s="11"/>
      <c r="E34" s="6">
        <f>(('[1]PURCHASE COST'!D33/12)+(('[1]PURCHASE COST'!D33/12)*3.87%))*D34</f>
        <v>0</v>
      </c>
      <c r="F34" s="32"/>
      <c r="G34" s="8"/>
      <c r="H34" s="7" t="s">
        <v>11</v>
      </c>
      <c r="I34" s="11"/>
      <c r="J34" s="8">
        <f t="shared" si="15"/>
        <v>0</v>
      </c>
      <c r="K34" s="6">
        <f>(('[1]PURCHASE COST'!D33/12)+(('[1]PURCHASE COST'!D33/12)*3.87%))*I34</f>
        <v>0</v>
      </c>
      <c r="L34" s="32"/>
      <c r="M34" s="18">
        <f t="shared" si="16"/>
        <v>0</v>
      </c>
    </row>
    <row r="35" spans="1:13" ht="15.75" customHeight="1" x14ac:dyDescent="0.2">
      <c r="A35" s="28"/>
      <c r="B35" s="28"/>
      <c r="C35" s="13" t="s">
        <v>12</v>
      </c>
      <c r="D35" s="11"/>
      <c r="E35" s="6">
        <f>(('[1]PURCHASE COST'!D34/18)+(('[1]PURCHASE COST'!D34/18)*3.87%))*D35</f>
        <v>0</v>
      </c>
      <c r="F35" s="32"/>
      <c r="G35" s="8"/>
      <c r="H35" s="14" t="s">
        <v>12</v>
      </c>
      <c r="I35" s="11"/>
      <c r="J35" s="8">
        <f t="shared" si="15"/>
        <v>0</v>
      </c>
      <c r="K35" s="6">
        <f>(('[1]PURCHASE COST'!D34/18)+(('[1]PURCHASE COST'!D34/18)*3.87%))*I35</f>
        <v>0</v>
      </c>
      <c r="L35" s="32"/>
      <c r="M35" s="18">
        <f t="shared" si="16"/>
        <v>0</v>
      </c>
    </row>
    <row r="36" spans="1:13" ht="15.75" customHeight="1" x14ac:dyDescent="0.2">
      <c r="A36" s="28"/>
      <c r="B36" s="28"/>
      <c r="C36" s="13" t="s">
        <v>13</v>
      </c>
      <c r="D36" s="11">
        <v>25</v>
      </c>
      <c r="E36" s="6">
        <f>(('[1]PURCHASE COST'!D35/24)+(('[1]PURCHASE COST'!D35/24)*3.87%))*D36</f>
        <v>7682.052083333333</v>
      </c>
      <c r="F36" s="32"/>
      <c r="G36" s="8"/>
      <c r="H36" s="14" t="s">
        <v>13</v>
      </c>
      <c r="I36" s="11">
        <v>25</v>
      </c>
      <c r="J36" s="8">
        <f t="shared" si="15"/>
        <v>0</v>
      </c>
      <c r="K36" s="6">
        <f>(('[1]PURCHASE COST'!D35/24)+(('[1]PURCHASE COST'!D35/24)*3.87%))*I36</f>
        <v>7682.052083333333</v>
      </c>
      <c r="L36" s="32"/>
      <c r="M36" s="18">
        <f t="shared" si="16"/>
        <v>0</v>
      </c>
    </row>
    <row r="37" spans="1:13" ht="15.75" customHeight="1" thickBot="1" x14ac:dyDescent="0.25">
      <c r="A37" s="29"/>
      <c r="B37" s="29"/>
      <c r="C37" s="13" t="s">
        <v>14</v>
      </c>
      <c r="D37" s="11">
        <v>9.5</v>
      </c>
      <c r="E37" s="6">
        <f>((('[1]PURCHASE COST'!D32/9)+(('[1]PURCHASE COST'!D32/9)*3.87%))/16.5)*D37</f>
        <v>446.53608080808073</v>
      </c>
      <c r="F37" s="33"/>
      <c r="G37" s="8"/>
      <c r="H37" s="14" t="s">
        <v>14</v>
      </c>
      <c r="I37" s="11">
        <v>13</v>
      </c>
      <c r="J37" s="8">
        <f t="shared" ref="J37" si="17">((((D33+G33)-I33)*16.5)+D37)-I37</f>
        <v>13</v>
      </c>
      <c r="K37" s="6">
        <f>((('[1]PURCHASE COST'!D32/9)+(('[1]PURCHASE COST'!D32/9)*3.87%))/16.5)*I37</f>
        <v>611.04937373737368</v>
      </c>
      <c r="L37" s="33"/>
      <c r="M37" s="18"/>
    </row>
    <row r="38" spans="1:13" ht="15.75" customHeight="1" thickTop="1" x14ac:dyDescent="0.2">
      <c r="A38" s="27">
        <v>8</v>
      </c>
      <c r="B38" s="30" t="s">
        <v>21</v>
      </c>
      <c r="C38" s="4" t="s">
        <v>10</v>
      </c>
      <c r="D38" s="11">
        <v>14</v>
      </c>
      <c r="E38" s="9">
        <f>(('[1]PURCHASE COST'!D37/9)+(('[1]PURCHASE COST'!D37/9)*3.87%))*D38</f>
        <v>12150.481777777777</v>
      </c>
      <c r="F38" s="31">
        <f>SUM(E38:E42)</f>
        <v>12387.179474747474</v>
      </c>
      <c r="G38" s="5"/>
      <c r="H38" s="7" t="s">
        <v>10</v>
      </c>
      <c r="I38" s="11">
        <v>13</v>
      </c>
      <c r="J38" s="8"/>
      <c r="K38" s="6">
        <f>(('[1]PURCHASE COST'!D37/9)+(('[1]PURCHASE COST'!D37/9)*3.87%))*I38</f>
        <v>11282.590222222223</v>
      </c>
      <c r="L38" s="45">
        <f>K38+K39+K40+K41+K42</f>
        <v>11650.786639730641</v>
      </c>
      <c r="M38" s="17">
        <f t="shared" si="16"/>
        <v>1</v>
      </c>
    </row>
    <row r="39" spans="1:13" ht="15.75" customHeight="1" x14ac:dyDescent="0.2">
      <c r="A39" s="28"/>
      <c r="B39" s="28"/>
      <c r="C39" s="4" t="s">
        <v>11</v>
      </c>
      <c r="D39" s="11"/>
      <c r="E39" s="6">
        <f>(('[1]PURCHASE COST'!D38/12)+(('[1]PURCHASE COST'!D38/12)*3.87%))*D39</f>
        <v>0</v>
      </c>
      <c r="F39" s="32"/>
      <c r="G39" s="8"/>
      <c r="H39" s="7" t="s">
        <v>11</v>
      </c>
      <c r="I39" s="11"/>
      <c r="J39" s="8">
        <f t="shared" ref="J39:J41" si="18">(D39+G39)-I39</f>
        <v>0</v>
      </c>
      <c r="K39" s="6">
        <f>(('[1]PURCHASE COST'!D38/12)+(('[1]PURCHASE COST'!D38/12)*3.87%))*I39</f>
        <v>0</v>
      </c>
      <c r="L39" s="32"/>
      <c r="M39" s="18">
        <f t="shared" si="16"/>
        <v>0</v>
      </c>
    </row>
    <row r="40" spans="1:13" ht="15.75" customHeight="1" x14ac:dyDescent="0.2">
      <c r="A40" s="28"/>
      <c r="B40" s="28"/>
      <c r="C40" s="13" t="s">
        <v>12</v>
      </c>
      <c r="D40" s="11"/>
      <c r="E40" s="6">
        <f>(('[1]PURCHASE COST'!D39/18)+(('[1]PURCHASE COST'!D39/18)*3.87%))*D40</f>
        <v>0</v>
      </c>
      <c r="F40" s="32"/>
      <c r="G40" s="8"/>
      <c r="H40" s="14" t="s">
        <v>12</v>
      </c>
      <c r="I40" s="11"/>
      <c r="J40" s="8">
        <f t="shared" si="18"/>
        <v>0</v>
      </c>
      <c r="K40" s="6">
        <f>(('[1]PURCHASE COST'!D39/18)+(('[1]PURCHASE COST'!D39/18)*3.87%))*I40</f>
        <v>0</v>
      </c>
      <c r="L40" s="32"/>
      <c r="M40" s="18">
        <f t="shared" si="16"/>
        <v>0</v>
      </c>
    </row>
    <row r="41" spans="1:13" ht="15.75" customHeight="1" x14ac:dyDescent="0.2">
      <c r="A41" s="28"/>
      <c r="B41" s="28"/>
      <c r="C41" s="13" t="s">
        <v>13</v>
      </c>
      <c r="D41" s="11"/>
      <c r="E41" s="6">
        <f>(('[1]PURCHASE COST'!D40/24)+(('[1]PURCHASE COST'!D40/24)*3.87%))*D41</f>
        <v>0</v>
      </c>
      <c r="F41" s="32"/>
      <c r="G41" s="8"/>
      <c r="H41" s="14" t="s">
        <v>13</v>
      </c>
      <c r="I41" s="11"/>
      <c r="J41" s="8">
        <f t="shared" si="18"/>
        <v>0</v>
      </c>
      <c r="K41" s="6">
        <f>(('[1]PURCHASE COST'!D40/24)+(('[1]PURCHASE COST'!D40/24)*3.87%))*I41</f>
        <v>0</v>
      </c>
      <c r="L41" s="32"/>
      <c r="M41" s="18">
        <f t="shared" si="16"/>
        <v>0</v>
      </c>
    </row>
    <row r="42" spans="1:13" ht="15.75" customHeight="1" thickBot="1" x14ac:dyDescent="0.25">
      <c r="A42" s="29"/>
      <c r="B42" s="29"/>
      <c r="C42" s="13" t="s">
        <v>14</v>
      </c>
      <c r="D42" s="11">
        <v>4.5</v>
      </c>
      <c r="E42" s="6">
        <f>((('[1]PURCHASE COST'!D37/9)+(('[1]PURCHASE COST'!D37/9)*3.87%))/16.5)*D42</f>
        <v>236.69769696969698</v>
      </c>
      <c r="F42" s="33"/>
      <c r="G42" s="8"/>
      <c r="H42" s="14" t="s">
        <v>14</v>
      </c>
      <c r="I42" s="11">
        <v>7</v>
      </c>
      <c r="J42" s="8">
        <f t="shared" ref="J42" si="19">((((D38+G38)-I38)*16.5)+D42)-I42</f>
        <v>14</v>
      </c>
      <c r="K42" s="19">
        <f>((('[1]PURCHASE COST'!D37/9)+(('[1]PURCHASE COST'!D37/9)*3.87%))/16.5)*I42</f>
        <v>368.19641750841748</v>
      </c>
      <c r="L42" s="33"/>
      <c r="M42" s="18"/>
    </row>
    <row r="43" spans="1:13" ht="15.75" customHeight="1" thickTop="1" x14ac:dyDescent="0.2">
      <c r="A43" s="27">
        <v>9</v>
      </c>
      <c r="B43" s="30" t="s">
        <v>22</v>
      </c>
      <c r="C43" s="4" t="s">
        <v>10</v>
      </c>
      <c r="D43" s="11">
        <v>349</v>
      </c>
      <c r="E43" s="9">
        <f>(('[1]PURCHASE COST'!D42/9)+(('[1]PURCHASE COST'!D42/9)*3.87%))*D43</f>
        <v>242476.43622222223</v>
      </c>
      <c r="F43" s="31">
        <f>SUM(E43:E47)</f>
        <v>254473.42122222221</v>
      </c>
      <c r="G43" s="5"/>
      <c r="H43" s="7" t="s">
        <v>10</v>
      </c>
      <c r="I43" s="11">
        <v>319</v>
      </c>
      <c r="J43" s="8"/>
      <c r="K43" s="9">
        <f>(('[1]PURCHASE COST'!D42/9)+(('[1]PURCHASE COST'!D42/9)*3.87%))*I43</f>
        <v>221633.18955555555</v>
      </c>
      <c r="L43" s="31">
        <f>K43+K44+K45+K46+K47</f>
        <v>233735.4434781145</v>
      </c>
      <c r="M43" s="10">
        <f t="shared" ref="M43:M51" si="20">D43-I43</f>
        <v>30</v>
      </c>
    </row>
    <row r="44" spans="1:13" ht="15.75" customHeight="1" x14ac:dyDescent="0.2">
      <c r="A44" s="28"/>
      <c r="B44" s="28"/>
      <c r="C44" s="4" t="s">
        <v>11</v>
      </c>
      <c r="D44" s="11"/>
      <c r="E44" s="6">
        <f>(('[1]PURCHASE COST'!D43/12)+(('[1]PURCHASE COST'!D43/12)*3.87%))*D44</f>
        <v>0</v>
      </c>
      <c r="F44" s="32"/>
      <c r="G44" s="8"/>
      <c r="H44" s="7" t="s">
        <v>11</v>
      </c>
      <c r="I44" s="11"/>
      <c r="J44" s="8">
        <f t="shared" ref="J44:J46" si="21">(D44+G44)-I44</f>
        <v>0</v>
      </c>
      <c r="K44" s="6">
        <f>(('[1]PURCHASE COST'!D43/12)+(('[1]PURCHASE COST'!D43/12)*3.87%))*I44</f>
        <v>0</v>
      </c>
      <c r="L44" s="32"/>
      <c r="M44" s="12">
        <f t="shared" si="20"/>
        <v>0</v>
      </c>
    </row>
    <row r="45" spans="1:13" ht="15.75" customHeight="1" x14ac:dyDescent="0.2">
      <c r="A45" s="28"/>
      <c r="B45" s="28"/>
      <c r="C45" s="13" t="s">
        <v>12</v>
      </c>
      <c r="D45" s="11">
        <v>33</v>
      </c>
      <c r="E45" s="6">
        <f>(('[1]PURCHASE COST'!D44/18)+(('[1]PURCHASE COST'!D44/18)*3.87%))*D45</f>
        <v>11996.985000000001</v>
      </c>
      <c r="F45" s="32"/>
      <c r="G45" s="8"/>
      <c r="H45" s="14" t="s">
        <v>12</v>
      </c>
      <c r="I45" s="11">
        <v>33</v>
      </c>
      <c r="J45" s="8">
        <f t="shared" si="21"/>
        <v>0</v>
      </c>
      <c r="K45" s="6">
        <f>(('[1]PURCHASE COST'!D44/18)+(('[1]PURCHASE COST'!D44/18)*3.87%))*I45</f>
        <v>11996.985000000001</v>
      </c>
      <c r="L45" s="32"/>
      <c r="M45" s="12">
        <f t="shared" si="20"/>
        <v>0</v>
      </c>
    </row>
    <row r="46" spans="1:13" ht="15.75" customHeight="1" x14ac:dyDescent="0.2">
      <c r="A46" s="28"/>
      <c r="B46" s="28"/>
      <c r="C46" s="13" t="s">
        <v>13</v>
      </c>
      <c r="D46" s="11"/>
      <c r="E46" s="6">
        <f>(('[1]PURCHASE COST'!D45/24)+(('[1]PURCHASE COST'!D45/24)*3.87%))*D46</f>
        <v>0</v>
      </c>
      <c r="F46" s="32"/>
      <c r="G46" s="8"/>
      <c r="H46" s="14" t="s">
        <v>13</v>
      </c>
      <c r="I46" s="11"/>
      <c r="J46" s="8">
        <f t="shared" si="21"/>
        <v>0</v>
      </c>
      <c r="K46" s="6">
        <f>(('[1]PURCHASE COST'!D45/24)+(('[1]PURCHASE COST'!D45/24)*3.87%))*I46</f>
        <v>0</v>
      </c>
      <c r="L46" s="32"/>
      <c r="M46" s="12">
        <f t="shared" si="20"/>
        <v>0</v>
      </c>
    </row>
    <row r="47" spans="1:13" ht="15.75" customHeight="1" thickBot="1" x14ac:dyDescent="0.25">
      <c r="A47" s="29"/>
      <c r="B47" s="29"/>
      <c r="C47" s="13" t="s">
        <v>14</v>
      </c>
      <c r="D47" s="11">
        <v>0</v>
      </c>
      <c r="E47" s="6">
        <f>((('[1]PURCHASE COST'!D42/9)+(('[1]PURCHASE COST'!D42/9)*3.87%))/16.5)*D47</f>
        <v>0</v>
      </c>
      <c r="F47" s="33"/>
      <c r="G47" s="8"/>
      <c r="H47" s="14" t="s">
        <v>14</v>
      </c>
      <c r="I47" s="11">
        <v>2.5</v>
      </c>
      <c r="J47" s="8">
        <f t="shared" ref="J47" si="22">((((D43+G43)-I43)*16.5)+D47)-I47</f>
        <v>492.5</v>
      </c>
      <c r="K47" s="15">
        <f>((('[1]PURCHASE COST'!D42/9)+(('[1]PURCHASE COST'!D42/9)*3.87%))/16.5)*I47</f>
        <v>105.26892255892255</v>
      </c>
      <c r="L47" s="34"/>
      <c r="M47" s="12"/>
    </row>
    <row r="48" spans="1:13" ht="15.75" customHeight="1" thickTop="1" x14ac:dyDescent="0.2">
      <c r="A48" s="27">
        <v>10</v>
      </c>
      <c r="B48" s="30" t="s">
        <v>23</v>
      </c>
      <c r="C48" s="4" t="s">
        <v>10</v>
      </c>
      <c r="D48" s="11">
        <v>23</v>
      </c>
      <c r="E48" s="9">
        <f>(('[1]PURCHASE COST'!D47/9)+(('[1]PURCHASE COST'!D47/9)*3.87%))*D48</f>
        <v>17837.941333333332</v>
      </c>
      <c r="F48" s="31">
        <f>SUM(E48:E52)</f>
        <v>17931.948929292928</v>
      </c>
      <c r="G48" s="5"/>
      <c r="H48" s="7" t="s">
        <v>10</v>
      </c>
      <c r="I48" s="11">
        <v>23</v>
      </c>
      <c r="J48" s="8"/>
      <c r="K48" s="9">
        <f>(('[1]PURCHASE COST'!D47/9)+(('[1]PURCHASE COST'!D47/9)*3.87%))*I48</f>
        <v>17837.941333333332</v>
      </c>
      <c r="L48" s="31">
        <f>K48+K49+K50+K51+K52</f>
        <v>17931.948929292928</v>
      </c>
      <c r="M48" s="10">
        <f t="shared" si="20"/>
        <v>0</v>
      </c>
    </row>
    <row r="49" spans="1:13" ht="15.75" customHeight="1" x14ac:dyDescent="0.2">
      <c r="A49" s="28"/>
      <c r="B49" s="28"/>
      <c r="C49" s="4" t="s">
        <v>11</v>
      </c>
      <c r="D49" s="11"/>
      <c r="E49" s="6">
        <f>(('[1]PURCHASE COST'!D48/12)+(('[1]PURCHASE COST'!D48/12)*3.87%))*D49</f>
        <v>0</v>
      </c>
      <c r="F49" s="32"/>
      <c r="G49" s="8"/>
      <c r="H49" s="7" t="s">
        <v>11</v>
      </c>
      <c r="I49" s="11"/>
      <c r="J49" s="8">
        <f t="shared" ref="J49:J51" si="23">(D49+G49)-I49</f>
        <v>0</v>
      </c>
      <c r="K49" s="6">
        <f>(('[1]PURCHASE COST'!D48/12)+(('[1]PURCHASE COST'!D48/12)*3.87%))*I49</f>
        <v>0</v>
      </c>
      <c r="L49" s="32"/>
      <c r="M49" s="12">
        <f t="shared" si="20"/>
        <v>0</v>
      </c>
    </row>
    <row r="50" spans="1:13" ht="15.75" customHeight="1" x14ac:dyDescent="0.2">
      <c r="A50" s="28"/>
      <c r="B50" s="28"/>
      <c r="C50" s="13" t="s">
        <v>12</v>
      </c>
      <c r="D50" s="11"/>
      <c r="E50" s="6">
        <f>(('[1]PURCHASE COST'!D49/18)+(('[1]PURCHASE COST'!D49/18)*3.87%))*D50</f>
        <v>0</v>
      </c>
      <c r="F50" s="32"/>
      <c r="G50" s="8"/>
      <c r="H50" s="14" t="s">
        <v>12</v>
      </c>
      <c r="I50" s="11"/>
      <c r="J50" s="8">
        <f t="shared" si="23"/>
        <v>0</v>
      </c>
      <c r="K50" s="6">
        <f>(('[1]PURCHASE COST'!D49/18)+(('[1]PURCHASE COST'!D49/18)*3.87%))*I50</f>
        <v>0</v>
      </c>
      <c r="L50" s="32"/>
      <c r="M50" s="12">
        <f t="shared" si="20"/>
        <v>0</v>
      </c>
    </row>
    <row r="51" spans="1:13" ht="15.75" customHeight="1" x14ac:dyDescent="0.2">
      <c r="A51" s="28"/>
      <c r="B51" s="28"/>
      <c r="C51" s="13" t="s">
        <v>13</v>
      </c>
      <c r="D51" s="11"/>
      <c r="E51" s="6">
        <f>(('[1]PURCHASE COST'!D50/24)+(('[1]PURCHASE COST'!D50/24)*3.87%))*D51</f>
        <v>0</v>
      </c>
      <c r="F51" s="32"/>
      <c r="G51" s="8"/>
      <c r="H51" s="14" t="s">
        <v>13</v>
      </c>
      <c r="I51" s="11"/>
      <c r="J51" s="8">
        <f t="shared" si="23"/>
        <v>0</v>
      </c>
      <c r="K51" s="6">
        <f>(('[1]PURCHASE COST'!D50/24)+(('[1]PURCHASE COST'!D50/24)*3.87%))*I51</f>
        <v>0</v>
      </c>
      <c r="L51" s="32"/>
      <c r="M51" s="12">
        <f t="shared" si="20"/>
        <v>0</v>
      </c>
    </row>
    <row r="52" spans="1:13" ht="15.75" customHeight="1" thickBot="1" x14ac:dyDescent="0.25">
      <c r="A52" s="29"/>
      <c r="B52" s="29"/>
      <c r="C52" s="13" t="s">
        <v>14</v>
      </c>
      <c r="D52" s="11">
        <v>2</v>
      </c>
      <c r="E52" s="6">
        <f>((('[1]PURCHASE COST'!D47/9)+(('[1]PURCHASE COST'!D47/9)*3.87%))/16.5)*D52</f>
        <v>94.007595959595946</v>
      </c>
      <c r="F52" s="33"/>
      <c r="G52" s="8"/>
      <c r="H52" s="14" t="s">
        <v>14</v>
      </c>
      <c r="I52" s="11">
        <v>2</v>
      </c>
      <c r="J52" s="8">
        <f t="shared" ref="J52" si="24">((((D48+G48)-I48)*16.5)+D52)-I52</f>
        <v>0</v>
      </c>
      <c r="K52" s="15">
        <f>((('[1]PURCHASE COST'!D47/9)+(('[1]PURCHASE COST'!D47/9)*3.87%))/16.5)*I52</f>
        <v>94.007595959595946</v>
      </c>
      <c r="L52" s="34"/>
      <c r="M52" s="12"/>
    </row>
    <row r="53" spans="1:13" ht="15.75" customHeight="1" thickTop="1" x14ac:dyDescent="0.2">
      <c r="A53" s="27">
        <v>11</v>
      </c>
      <c r="B53" s="30" t="s">
        <v>24</v>
      </c>
      <c r="C53" s="4" t="s">
        <v>10</v>
      </c>
      <c r="D53" s="11"/>
      <c r="E53" s="9">
        <f>(('[1]PURCHASE COST'!D52/9)+(('[1]PURCHASE COST'!D52/9)*3.87%))*D53</f>
        <v>0</v>
      </c>
      <c r="F53" s="31">
        <f>SUM(E53:E57)</f>
        <v>3772.5584000000003</v>
      </c>
      <c r="G53" s="5"/>
      <c r="H53" s="7" t="s">
        <v>10</v>
      </c>
      <c r="I53" s="11"/>
      <c r="J53" s="8">
        <f t="shared" ref="J53:J56" si="25">(D53+G53)-I53</f>
        <v>0</v>
      </c>
      <c r="K53" s="9">
        <f>(('[1]PURCHASE COST'!D52/9)+(('[1]PURCHASE COST'!D52/9)*3.87%))*I53</f>
        <v>0</v>
      </c>
      <c r="L53" s="31">
        <f>K53+K54+K55+K56+K57</f>
        <v>3772.5584000000003</v>
      </c>
      <c r="M53" s="10">
        <f t="shared" ref="M53:M56" si="26">D53-I53</f>
        <v>0</v>
      </c>
    </row>
    <row r="54" spans="1:13" ht="15.75" customHeight="1" x14ac:dyDescent="0.2">
      <c r="A54" s="28"/>
      <c r="B54" s="28"/>
      <c r="C54" s="4" t="s">
        <v>11</v>
      </c>
      <c r="D54" s="11">
        <v>3</v>
      </c>
      <c r="E54" s="6">
        <f>(('[1]PURCHASE COST'!D53/12)+(('[1]PURCHASE COST'!D53/12)*3.87%))*D54</f>
        <v>3536.7735000000002</v>
      </c>
      <c r="F54" s="32"/>
      <c r="G54" s="8"/>
      <c r="H54" s="7" t="s">
        <v>11</v>
      </c>
      <c r="I54" s="11">
        <v>3</v>
      </c>
      <c r="J54" s="8">
        <f t="shared" si="25"/>
        <v>0</v>
      </c>
      <c r="K54" s="6">
        <f>(('[1]PURCHASE COST'!D53/12)+(('[1]PURCHASE COST'!D53/12)*3.87%))*I54</f>
        <v>3536.7735000000002</v>
      </c>
      <c r="L54" s="32"/>
      <c r="M54" s="12">
        <f t="shared" si="26"/>
        <v>0</v>
      </c>
    </row>
    <row r="55" spans="1:13" ht="15.75" customHeight="1" x14ac:dyDescent="0.2">
      <c r="A55" s="28"/>
      <c r="B55" s="28"/>
      <c r="C55" s="13" t="s">
        <v>12</v>
      </c>
      <c r="D55" s="11"/>
      <c r="E55" s="6">
        <f>(('[1]PURCHASE COST'!D54/18)+(('[1]PURCHASE COST'!D54/18)*3.87%))*D55</f>
        <v>0</v>
      </c>
      <c r="F55" s="32"/>
      <c r="G55" s="8"/>
      <c r="H55" s="14" t="s">
        <v>12</v>
      </c>
      <c r="I55" s="11"/>
      <c r="J55" s="8">
        <f t="shared" si="25"/>
        <v>0</v>
      </c>
      <c r="K55" s="6">
        <f>(('[1]PURCHASE COST'!D54/18)+(('[1]PURCHASE COST'!D54/18)*3.87%))*I55</f>
        <v>0</v>
      </c>
      <c r="L55" s="32"/>
      <c r="M55" s="12">
        <f t="shared" si="26"/>
        <v>0</v>
      </c>
    </row>
    <row r="56" spans="1:13" ht="15.75" customHeight="1" x14ac:dyDescent="0.2">
      <c r="A56" s="28"/>
      <c r="B56" s="28"/>
      <c r="C56" s="13" t="s">
        <v>13</v>
      </c>
      <c r="D56" s="11"/>
      <c r="E56" s="6">
        <f>(('[1]PURCHASE COST'!D55/24)+(('[1]PURCHASE COST'!D55/24)*3.87%))*D56</f>
        <v>0</v>
      </c>
      <c r="F56" s="32"/>
      <c r="G56" s="8"/>
      <c r="H56" s="14" t="s">
        <v>13</v>
      </c>
      <c r="I56" s="11"/>
      <c r="J56" s="8">
        <f t="shared" si="25"/>
        <v>0</v>
      </c>
      <c r="K56" s="6">
        <f>(('[1]PURCHASE COST'!D55/24)+(('[1]PURCHASE COST'!D55/24)*3.87%))*I56</f>
        <v>0</v>
      </c>
      <c r="L56" s="32"/>
      <c r="M56" s="12">
        <f t="shared" si="26"/>
        <v>0</v>
      </c>
    </row>
    <row r="57" spans="1:13" ht="15.75" customHeight="1" thickBot="1" x14ac:dyDescent="0.25">
      <c r="A57" s="29"/>
      <c r="B57" s="29"/>
      <c r="C57" s="20" t="s">
        <v>14</v>
      </c>
      <c r="D57" s="21">
        <v>2.5</v>
      </c>
      <c r="E57" s="6">
        <f>((('[1]PURCHASE COST'!D53/12)+(('[1]PURCHASE COST'!D53/12)*3.87%))/12.5)*D57</f>
        <v>235.78490000000002</v>
      </c>
      <c r="F57" s="33"/>
      <c r="G57" s="8"/>
      <c r="H57" s="14" t="s">
        <v>14</v>
      </c>
      <c r="I57" s="21">
        <v>2.5</v>
      </c>
      <c r="J57" s="8">
        <f t="shared" ref="J57" si="27">((((D53+G53)-I53)*16.5)+D57)-I57</f>
        <v>0</v>
      </c>
      <c r="K57" s="15">
        <f>((('[1]PURCHASE COST'!D53/12)+(('[1]PURCHASE COST'!D53/12)*3.87%))/12.5)*I57</f>
        <v>235.78490000000002</v>
      </c>
      <c r="L57" s="34"/>
      <c r="M57" s="22"/>
    </row>
    <row r="58" spans="1:13" ht="15.75" customHeight="1" x14ac:dyDescent="0.2">
      <c r="A58" s="46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</row>
    <row r="59" spans="1:13" ht="15.75" customHeight="1" thickBot="1" x14ac:dyDescent="0.25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</row>
    <row r="60" spans="1:13" ht="15.75" customHeight="1" thickTop="1" x14ac:dyDescent="0.2">
      <c r="A60" s="27">
        <v>12</v>
      </c>
      <c r="B60" s="30" t="s">
        <v>25</v>
      </c>
      <c r="C60" s="4" t="s">
        <v>10</v>
      </c>
      <c r="D60" s="5"/>
      <c r="E60" s="9">
        <f>(('[1]PURCHASE COST'!D59/9)+(('[1]PURCHASE COST'!D59/9)*3.87%))*D60</f>
        <v>0</v>
      </c>
      <c r="F60" s="31">
        <f>E60+E61+E62+E63+E64</f>
        <v>224173.49303030304</v>
      </c>
      <c r="G60" s="5"/>
      <c r="H60" s="7" t="s">
        <v>10</v>
      </c>
      <c r="I60" s="5"/>
      <c r="J60" s="8">
        <f t="shared" ref="J60:J63" si="28">(D60+G60)-I60</f>
        <v>0</v>
      </c>
      <c r="K60" s="9">
        <f>(('[1]PURCHASE COST'!D59/9)+(('[1]PURCHASE COST'!D59/9)*3.87%))*I60</f>
        <v>0</v>
      </c>
      <c r="L60" s="31">
        <f>K60+K61+K62+K63+K64</f>
        <v>224089.13800000001</v>
      </c>
      <c r="M60" s="10">
        <f t="shared" ref="M60:M63" si="29">D60-I60</f>
        <v>0</v>
      </c>
    </row>
    <row r="61" spans="1:13" ht="15.75" customHeight="1" x14ac:dyDescent="0.2">
      <c r="A61" s="28"/>
      <c r="B61" s="28"/>
      <c r="C61" s="4" t="s">
        <v>11</v>
      </c>
      <c r="D61" s="11"/>
      <c r="E61" s="6">
        <f>(('[1]PURCHASE COST'!D60/12)+(('[1]PURCHASE COST'!D60/12)*3.87%))*D61</f>
        <v>0</v>
      </c>
      <c r="F61" s="32"/>
      <c r="G61" s="8"/>
      <c r="H61" s="7" t="s">
        <v>11</v>
      </c>
      <c r="I61" s="11"/>
      <c r="J61" s="8">
        <f t="shared" si="28"/>
        <v>0</v>
      </c>
      <c r="K61" s="6">
        <f>(('[1]PURCHASE COST'!D60/12)+(('[1]PURCHASE COST'!D60/12)*3.87%))*I61</f>
        <v>0</v>
      </c>
      <c r="L61" s="32"/>
      <c r="M61" s="12">
        <f t="shared" si="29"/>
        <v>0</v>
      </c>
    </row>
    <row r="62" spans="1:13" ht="15.75" customHeight="1" x14ac:dyDescent="0.2">
      <c r="A62" s="28"/>
      <c r="B62" s="28"/>
      <c r="C62" s="13" t="s">
        <v>12</v>
      </c>
      <c r="D62" s="11">
        <v>483</v>
      </c>
      <c r="E62" s="6">
        <f>(('[1]PURCHASE COST'!D61/18)+(('[1]PURCHASE COST'!D61/18)*3.87%))*D62</f>
        <v>224089.13800000001</v>
      </c>
      <c r="F62" s="32"/>
      <c r="G62" s="8"/>
      <c r="H62" s="14" t="s">
        <v>12</v>
      </c>
      <c r="I62" s="11">
        <v>483</v>
      </c>
      <c r="J62" s="8">
        <f t="shared" si="28"/>
        <v>0</v>
      </c>
      <c r="K62" s="6">
        <f>(('[1]PURCHASE COST'!D61/18)+(('[1]PURCHASE COST'!D61/18)*3.87%))*I62</f>
        <v>224089.13800000001</v>
      </c>
      <c r="L62" s="32"/>
      <c r="M62" s="12">
        <f t="shared" si="29"/>
        <v>0</v>
      </c>
    </row>
    <row r="63" spans="1:13" ht="15.75" customHeight="1" x14ac:dyDescent="0.2">
      <c r="A63" s="28"/>
      <c r="B63" s="28"/>
      <c r="C63" s="13" t="s">
        <v>13</v>
      </c>
      <c r="D63" s="11"/>
      <c r="E63" s="6">
        <f>(('[1]PURCHASE COST'!D62/24)+(('[1]PURCHASE COST'!D62/24)*3.87%))*D63</f>
        <v>0</v>
      </c>
      <c r="F63" s="32"/>
      <c r="G63" s="8"/>
      <c r="H63" s="14" t="s">
        <v>13</v>
      </c>
      <c r="I63" s="11"/>
      <c r="J63" s="8">
        <f t="shared" si="28"/>
        <v>0</v>
      </c>
      <c r="K63" s="6">
        <f>(('[1]PURCHASE COST'!D62/24)+(('[1]PURCHASE COST'!D62/24)*3.87%))*I63</f>
        <v>0</v>
      </c>
      <c r="L63" s="32"/>
      <c r="M63" s="12">
        <f t="shared" si="29"/>
        <v>0</v>
      </c>
    </row>
    <row r="64" spans="1:13" ht="15.75" customHeight="1" thickBot="1" x14ac:dyDescent="0.25">
      <c r="A64" s="29"/>
      <c r="B64" s="29"/>
      <c r="C64" s="13" t="s">
        <v>14</v>
      </c>
      <c r="D64" s="11">
        <v>1.5</v>
      </c>
      <c r="E64" s="6">
        <f>((('[1]PURCHASE COST'!D61/18)+(('[1]PURCHASE COST'!D61/18)*3.87%))/8.25)*D64</f>
        <v>84.355030303030304</v>
      </c>
      <c r="F64" s="33"/>
      <c r="G64" s="8"/>
      <c r="H64" s="14" t="s">
        <v>14</v>
      </c>
      <c r="I64" s="11">
        <v>0</v>
      </c>
      <c r="J64" s="8">
        <f>((((D62+G62)-I62)*8.25)+D64)-I64</f>
        <v>1.5</v>
      </c>
      <c r="K64" s="15">
        <f>((('[1]PURCHASE COST'!D61/18)+(('[1]PURCHASE COST'!D61/18)*3.87%))/8.25)*I64</f>
        <v>0</v>
      </c>
      <c r="L64" s="34"/>
      <c r="M64" s="12"/>
    </row>
    <row r="65" spans="1:13" ht="15.75" customHeight="1" thickTop="1" x14ac:dyDescent="0.2">
      <c r="A65" s="27">
        <v>13</v>
      </c>
      <c r="B65" s="30" t="s">
        <v>26</v>
      </c>
      <c r="C65" s="4" t="s">
        <v>10</v>
      </c>
      <c r="D65" s="11">
        <v>7</v>
      </c>
      <c r="E65" s="6">
        <f>(('[1]PURCHASE COST'!D64/9)+(('[1]PURCHASE COST'!D64/9)*3.87%))*D65</f>
        <v>6656.912888888889</v>
      </c>
      <c r="F65" s="45">
        <f>E65+E66+E67+E68+E69</f>
        <v>7579.08263973064</v>
      </c>
      <c r="G65" s="5"/>
      <c r="H65" s="7" t="s">
        <v>10</v>
      </c>
      <c r="I65" s="11">
        <v>7</v>
      </c>
      <c r="J65" s="8"/>
      <c r="K65" s="9">
        <f>(('[1]PURCHASE COST'!D64/9)+(('[1]PURCHASE COST'!D64/9)*3.87%))*I65</f>
        <v>6656.912888888889</v>
      </c>
      <c r="L65" s="31">
        <f>K65+K66+K67+K68+K69</f>
        <v>7233.2689831649832</v>
      </c>
      <c r="M65" s="10">
        <f t="shared" ref="M65:M68" si="30">D65-I65</f>
        <v>0</v>
      </c>
    </row>
    <row r="66" spans="1:13" ht="15.75" customHeight="1" x14ac:dyDescent="0.2">
      <c r="A66" s="28"/>
      <c r="B66" s="28"/>
      <c r="C66" s="4" t="s">
        <v>11</v>
      </c>
      <c r="D66" s="11"/>
      <c r="E66" s="6">
        <f>(('[1]PURCHASE COST'!D65/12)+(('[1]PURCHASE COST'!D65/12)*3.87%))*D66</f>
        <v>0</v>
      </c>
      <c r="F66" s="32"/>
      <c r="G66" s="8"/>
      <c r="H66" s="7" t="s">
        <v>11</v>
      </c>
      <c r="I66" s="11"/>
      <c r="J66" s="8">
        <f t="shared" ref="J66:J68" si="31">(D66+G66)-I66</f>
        <v>0</v>
      </c>
      <c r="K66" s="6">
        <f>(('[1]PURCHASE COST'!D65/12)+(('[1]PURCHASE COST'!D65/12)*3.87%))*I66</f>
        <v>0</v>
      </c>
      <c r="L66" s="32"/>
      <c r="M66" s="12">
        <f t="shared" si="30"/>
        <v>0</v>
      </c>
    </row>
    <row r="67" spans="1:13" ht="15.75" customHeight="1" x14ac:dyDescent="0.2">
      <c r="A67" s="28"/>
      <c r="B67" s="28"/>
      <c r="C67" s="13" t="s">
        <v>12</v>
      </c>
      <c r="D67" s="11"/>
      <c r="E67" s="6">
        <f>(('[1]PURCHASE COST'!D66/18)+(('[1]PURCHASE COST'!D66/18)*3.87%))*D67</f>
        <v>0</v>
      </c>
      <c r="F67" s="32"/>
      <c r="G67" s="8"/>
      <c r="H67" s="14" t="s">
        <v>12</v>
      </c>
      <c r="I67" s="11"/>
      <c r="J67" s="8">
        <f t="shared" si="31"/>
        <v>0</v>
      </c>
      <c r="K67" s="6">
        <f>(('[1]PURCHASE COST'!D66/18)+(('[1]PURCHASE COST'!D66/18)*3.87%))*I67</f>
        <v>0</v>
      </c>
      <c r="L67" s="32"/>
      <c r="M67" s="12">
        <f t="shared" si="30"/>
        <v>0</v>
      </c>
    </row>
    <row r="68" spans="1:13" ht="15.75" customHeight="1" x14ac:dyDescent="0.2">
      <c r="A68" s="28"/>
      <c r="B68" s="28"/>
      <c r="C68" s="13" t="s">
        <v>13</v>
      </c>
      <c r="D68" s="11"/>
      <c r="E68" s="6">
        <f>(('[1]PURCHASE COST'!D67/24)+(('[1]PURCHASE COST'!D67/24)*3.87%))*D68</f>
        <v>0</v>
      </c>
      <c r="F68" s="32"/>
      <c r="G68" s="8"/>
      <c r="H68" s="14" t="s">
        <v>13</v>
      </c>
      <c r="I68" s="11"/>
      <c r="J68" s="8">
        <f t="shared" si="31"/>
        <v>0</v>
      </c>
      <c r="K68" s="6">
        <f>(('[1]PURCHASE COST'!D67/24)+(('[1]PURCHASE COST'!D67/24)*3.87%))*I68</f>
        <v>0</v>
      </c>
      <c r="L68" s="32"/>
      <c r="M68" s="12">
        <f t="shared" si="30"/>
        <v>0</v>
      </c>
    </row>
    <row r="69" spans="1:13" ht="15.75" customHeight="1" thickBot="1" x14ac:dyDescent="0.25">
      <c r="A69" s="29"/>
      <c r="B69" s="29"/>
      <c r="C69" s="13" t="s">
        <v>14</v>
      </c>
      <c r="D69" s="11">
        <v>16</v>
      </c>
      <c r="E69" s="6">
        <f>((('[1]PURCHASE COST'!D64/9)+(('[1]PURCHASE COST'!D64/9)*3.87%))/16.5)*D69</f>
        <v>922.1697508417509</v>
      </c>
      <c r="F69" s="33"/>
      <c r="G69" s="8"/>
      <c r="H69" s="14" t="s">
        <v>14</v>
      </c>
      <c r="I69" s="11">
        <v>10</v>
      </c>
      <c r="J69" s="8">
        <f t="shared" ref="J69" si="32">((((D65+G65)-I65)*16.5)+D69)-I69</f>
        <v>6</v>
      </c>
      <c r="K69" s="15">
        <f>((('[1]PURCHASE COST'!D64/9)+(('[1]PURCHASE COST'!D64/9)*3.87%))/16.5)*I69</f>
        <v>576.35609427609427</v>
      </c>
      <c r="L69" s="34"/>
      <c r="M69" s="12"/>
    </row>
    <row r="70" spans="1:13" ht="15.75" customHeight="1" thickTop="1" x14ac:dyDescent="0.2">
      <c r="A70" s="27">
        <v>14</v>
      </c>
      <c r="B70" s="30" t="s">
        <v>27</v>
      </c>
      <c r="C70" s="4" t="s">
        <v>10</v>
      </c>
      <c r="D70" s="11">
        <v>6</v>
      </c>
      <c r="E70" s="6">
        <f>(('[1]PURCHASE COST'!D69/9)+(('[1]PURCHASE COST'!D69/9)*3.87%))*D70</f>
        <v>7021.612000000001</v>
      </c>
      <c r="F70" s="45">
        <f>E70+E71+E72+E73+E74</f>
        <v>7908.1791717171727</v>
      </c>
      <c r="G70" s="5"/>
      <c r="H70" s="7" t="s">
        <v>10</v>
      </c>
      <c r="I70" s="11">
        <v>6</v>
      </c>
      <c r="J70" s="8"/>
      <c r="K70" s="9">
        <f>(('[1]PURCHASE COST'!D69/9)+(('[1]PURCHASE COST'!D69/9)*3.87%))*I70</f>
        <v>7021.612000000001</v>
      </c>
      <c r="L70" s="31">
        <f>K70+K71+K72+K73+K74</f>
        <v>7837.2537979797989</v>
      </c>
      <c r="M70" s="10">
        <f t="shared" ref="M70:M73" si="33">D70-I70</f>
        <v>0</v>
      </c>
    </row>
    <row r="71" spans="1:13" ht="15.75" customHeight="1" x14ac:dyDescent="0.2">
      <c r="A71" s="28"/>
      <c r="B71" s="28"/>
      <c r="C71" s="4" t="s">
        <v>11</v>
      </c>
      <c r="D71" s="11"/>
      <c r="E71" s="6">
        <f>(('[1]PURCHASE COST'!D70/12)+(('[1]PURCHASE COST'!D70/12)*3.87%))*D71</f>
        <v>0</v>
      </c>
      <c r="F71" s="32"/>
      <c r="G71" s="8"/>
      <c r="H71" s="7" t="s">
        <v>11</v>
      </c>
      <c r="I71" s="11"/>
      <c r="J71" s="8">
        <f t="shared" ref="J71:J73" si="34">(D71+G71)-I71</f>
        <v>0</v>
      </c>
      <c r="K71" s="6">
        <f>(('[1]PURCHASE COST'!D70/12)+(('[1]PURCHASE COST'!D70/12)*3.87%))*I71</f>
        <v>0</v>
      </c>
      <c r="L71" s="32"/>
      <c r="M71" s="12">
        <f t="shared" si="33"/>
        <v>0</v>
      </c>
    </row>
    <row r="72" spans="1:13" ht="15.75" customHeight="1" x14ac:dyDescent="0.2">
      <c r="A72" s="28"/>
      <c r="B72" s="28"/>
      <c r="C72" s="13" t="s">
        <v>12</v>
      </c>
      <c r="D72" s="11"/>
      <c r="E72" s="6">
        <f>(('[1]PURCHASE COST'!D71/18)+(('[1]PURCHASE COST'!D71/18)*3.87%))*D72</f>
        <v>0</v>
      </c>
      <c r="F72" s="32"/>
      <c r="G72" s="8"/>
      <c r="H72" s="14" t="s">
        <v>12</v>
      </c>
      <c r="I72" s="11"/>
      <c r="J72" s="8">
        <f t="shared" si="34"/>
        <v>0</v>
      </c>
      <c r="K72" s="6">
        <f>(('[1]PURCHASE COST'!D71/18)+(('[1]PURCHASE COST'!D71/18)*3.87%))*I72</f>
        <v>0</v>
      </c>
      <c r="L72" s="32"/>
      <c r="M72" s="12">
        <f t="shared" si="33"/>
        <v>0</v>
      </c>
    </row>
    <row r="73" spans="1:13" ht="15.75" customHeight="1" x14ac:dyDescent="0.2">
      <c r="A73" s="28"/>
      <c r="B73" s="28"/>
      <c r="C73" s="13" t="s">
        <v>13</v>
      </c>
      <c r="D73" s="11"/>
      <c r="E73" s="6">
        <f>(('[1]PURCHASE COST'!D72/24)+(('[1]PURCHASE COST'!D72/24)*3.87%))*D73</f>
        <v>0</v>
      </c>
      <c r="F73" s="32"/>
      <c r="G73" s="8"/>
      <c r="H73" s="14" t="s">
        <v>13</v>
      </c>
      <c r="I73" s="11"/>
      <c r="J73" s="8">
        <f t="shared" si="34"/>
        <v>0</v>
      </c>
      <c r="K73" s="6">
        <f>(('[1]PURCHASE COST'!D72/24)+(('[1]PURCHASE COST'!D72/24)*3.87%))*I73</f>
        <v>0</v>
      </c>
      <c r="L73" s="32"/>
      <c r="M73" s="12">
        <f t="shared" si="33"/>
        <v>0</v>
      </c>
    </row>
    <row r="74" spans="1:13" ht="15.75" customHeight="1" thickBot="1" x14ac:dyDescent="0.25">
      <c r="A74" s="29"/>
      <c r="B74" s="29"/>
      <c r="C74" s="13" t="s">
        <v>14</v>
      </c>
      <c r="D74" s="11">
        <v>12.5</v>
      </c>
      <c r="E74" s="6">
        <f>((('[1]PURCHASE COST'!D69/9)+(('[1]PURCHASE COST'!D69/9)*3.87%))/16.5)*D74</f>
        <v>886.56717171717185</v>
      </c>
      <c r="F74" s="33"/>
      <c r="G74" s="8"/>
      <c r="H74" s="14" t="s">
        <v>14</v>
      </c>
      <c r="I74" s="11">
        <v>11.5</v>
      </c>
      <c r="J74" s="8">
        <f t="shared" ref="J74" si="35">((((D70+G70)-I70)*16.5)+D74)-I74</f>
        <v>1</v>
      </c>
      <c r="K74" s="15">
        <f>((('[1]PURCHASE COST'!D69/9)+(('[1]PURCHASE COST'!D69/9)*3.87%))/16.5)*I74</f>
        <v>815.64179797979807</v>
      </c>
      <c r="L74" s="34"/>
      <c r="M74" s="12"/>
    </row>
    <row r="75" spans="1:13" ht="15.75" customHeight="1" thickTop="1" x14ac:dyDescent="0.2">
      <c r="A75" s="27">
        <v>15</v>
      </c>
      <c r="B75" s="30" t="s">
        <v>28</v>
      </c>
      <c r="C75" s="4" t="s">
        <v>10</v>
      </c>
      <c r="D75" s="11"/>
      <c r="E75" s="6">
        <f>(('[1]PURCHASE COST'!D74/9)+(('[1]PURCHASE COST'!D74/9)*3.87%))*D75</f>
        <v>0</v>
      </c>
      <c r="F75" s="45">
        <f>E75+E76+E77+E78+E79</f>
        <v>24692.599620000001</v>
      </c>
      <c r="G75" s="5"/>
      <c r="H75" s="7" t="s">
        <v>10</v>
      </c>
      <c r="I75" s="11"/>
      <c r="J75" s="8"/>
      <c r="K75" s="9">
        <f>(('[1]PURCHASE COST'!D74/9)+(('[1]PURCHASE COST'!D74/9)*3.87%))*I75</f>
        <v>0</v>
      </c>
      <c r="L75" s="31">
        <f>K75+K76+K77+K78+K79</f>
        <v>24194.646840000001</v>
      </c>
      <c r="M75" s="10">
        <f t="shared" ref="M75:M78" si="36">D75-I75</f>
        <v>0</v>
      </c>
    </row>
    <row r="76" spans="1:13" ht="15.75" customHeight="1" x14ac:dyDescent="0.2">
      <c r="A76" s="28"/>
      <c r="B76" s="28"/>
      <c r="C76" s="4" t="s">
        <v>11</v>
      </c>
      <c r="D76" s="11">
        <v>33</v>
      </c>
      <c r="E76" s="6">
        <f>(('[1]PURCHASE COST'!D75/12)+(('[1]PURCHASE COST'!D75/12)*3.87%))*D76</f>
        <v>24165.355500000001</v>
      </c>
      <c r="F76" s="32"/>
      <c r="G76" s="8"/>
      <c r="H76" s="7" t="s">
        <v>11</v>
      </c>
      <c r="I76" s="11">
        <v>33</v>
      </c>
      <c r="J76" s="8">
        <v>0</v>
      </c>
      <c r="K76" s="6">
        <f>(('[1]PURCHASE COST'!D75/12)+(('[1]PURCHASE COST'!D75/12)*3.87%))*I76</f>
        <v>24165.355500000001</v>
      </c>
      <c r="L76" s="32"/>
      <c r="M76" s="12">
        <f t="shared" si="36"/>
        <v>0</v>
      </c>
    </row>
    <row r="77" spans="1:13" ht="15.75" customHeight="1" x14ac:dyDescent="0.2">
      <c r="A77" s="28"/>
      <c r="B77" s="28"/>
      <c r="C77" s="13" t="s">
        <v>12</v>
      </c>
      <c r="D77" s="11"/>
      <c r="E77" s="6">
        <f>(('[1]PURCHASE COST'!D76/18)+(('[1]PURCHASE COST'!D76/18)*3.87%))*D77</f>
        <v>0</v>
      </c>
      <c r="F77" s="32"/>
      <c r="G77" s="8"/>
      <c r="H77" s="14" t="s">
        <v>12</v>
      </c>
      <c r="I77" s="11"/>
      <c r="J77" s="8">
        <f t="shared" ref="J77:J78" si="37">(D77+G77)-I77</f>
        <v>0</v>
      </c>
      <c r="K77" s="6">
        <f>(('[1]PURCHASE COST'!D76/18)+(('[1]PURCHASE COST'!D76/18)*3.87%))*I77</f>
        <v>0</v>
      </c>
      <c r="L77" s="32"/>
      <c r="M77" s="12">
        <f t="shared" si="36"/>
        <v>0</v>
      </c>
    </row>
    <row r="78" spans="1:13" ht="15.75" customHeight="1" x14ac:dyDescent="0.2">
      <c r="A78" s="28"/>
      <c r="B78" s="28"/>
      <c r="C78" s="13" t="s">
        <v>13</v>
      </c>
      <c r="D78" s="11"/>
      <c r="E78" s="6">
        <f>(('[1]PURCHASE COST'!D77/24)+(('[1]PURCHASE COST'!D77/24)*3.87%))*D78</f>
        <v>0</v>
      </c>
      <c r="F78" s="32"/>
      <c r="G78" s="8"/>
      <c r="H78" s="14" t="s">
        <v>13</v>
      </c>
      <c r="I78" s="11"/>
      <c r="J78" s="8">
        <f t="shared" si="37"/>
        <v>0</v>
      </c>
      <c r="K78" s="6">
        <f>(('[1]PURCHASE COST'!D77/24)+(('[1]PURCHASE COST'!D77/24)*3.87%))*I78</f>
        <v>0</v>
      </c>
      <c r="L78" s="32"/>
      <c r="M78" s="12">
        <f t="shared" si="36"/>
        <v>0</v>
      </c>
    </row>
    <row r="79" spans="1:13" ht="15.75" customHeight="1" thickBot="1" x14ac:dyDescent="0.25">
      <c r="A79" s="29"/>
      <c r="B79" s="29"/>
      <c r="C79" s="13" t="s">
        <v>14</v>
      </c>
      <c r="D79" s="11">
        <v>9</v>
      </c>
      <c r="E79" s="6">
        <f>((('[1]PURCHASE COST'!D75/12)+(('[1]PURCHASE COST'!D75/12)*3.87%))/12.5)*D79</f>
        <v>527.24412000000007</v>
      </c>
      <c r="F79" s="33"/>
      <c r="G79" s="8"/>
      <c r="H79" s="14" t="s">
        <v>14</v>
      </c>
      <c r="I79" s="11">
        <v>0.5</v>
      </c>
      <c r="J79" s="8">
        <f>((((D76+G76)-I76)*12.5)+D79)-I79</f>
        <v>8.5</v>
      </c>
      <c r="K79" s="15">
        <f>((('[1]PURCHASE COST'!D75/12)+(('[1]PURCHASE COST'!D75/12)*3.87%))/12.5)*I79</f>
        <v>29.291340000000002</v>
      </c>
      <c r="L79" s="34"/>
      <c r="M79" s="12"/>
    </row>
    <row r="80" spans="1:13" ht="15.75" customHeight="1" thickTop="1" x14ac:dyDescent="0.2">
      <c r="A80" s="27">
        <v>16</v>
      </c>
      <c r="B80" s="30" t="s">
        <v>29</v>
      </c>
      <c r="C80" s="4" t="s">
        <v>10</v>
      </c>
      <c r="D80" s="11">
        <v>22</v>
      </c>
      <c r="E80" s="6">
        <f>(('[1]PURCHASE COST'!D79/9)+(('[1]PURCHASE COST'!D79/9)*3.87%))*D80</f>
        <v>20667.821777777775</v>
      </c>
      <c r="F80" s="45">
        <f>E80+E81+E82+E83+E84</f>
        <v>22414.953648148145</v>
      </c>
      <c r="G80" s="5"/>
      <c r="H80" s="7" t="s">
        <v>10</v>
      </c>
      <c r="I80" s="11">
        <v>21</v>
      </c>
      <c r="J80" s="8"/>
      <c r="K80" s="9">
        <f>(('[1]PURCHASE COST'!D79/9)+(('[1]PURCHASE COST'!D79/9)*3.87%))*I80</f>
        <v>19728.375333333333</v>
      </c>
      <c r="L80" s="31">
        <f>K80+K81+K82+K83+K84</f>
        <v>21219.294537037036</v>
      </c>
      <c r="M80" s="10">
        <f t="shared" ref="M80:M83" si="38">D80-I80</f>
        <v>1</v>
      </c>
    </row>
    <row r="81" spans="1:13" ht="15.75" customHeight="1" x14ac:dyDescent="0.2">
      <c r="A81" s="28"/>
      <c r="B81" s="28"/>
      <c r="C81" s="4" t="s">
        <v>11</v>
      </c>
      <c r="D81" s="11">
        <v>1</v>
      </c>
      <c r="E81" s="6">
        <f>(('[1]PURCHASE COST'!D80/12)+(('[1]PURCHASE COST'!D80/12)*3.87%))*D81</f>
        <v>836.15350000000001</v>
      </c>
      <c r="F81" s="32"/>
      <c r="G81" s="8"/>
      <c r="H81" s="7" t="s">
        <v>11</v>
      </c>
      <c r="I81" s="11">
        <v>1</v>
      </c>
      <c r="J81" s="8">
        <f t="shared" ref="J81:J83" si="39">(D81+G81)-I81</f>
        <v>0</v>
      </c>
      <c r="K81" s="6">
        <f>(('[1]PURCHASE COST'!D80/12)+(('[1]PURCHASE COST'!D80/12)*3.87%))*I81</f>
        <v>836.15350000000001</v>
      </c>
      <c r="L81" s="32"/>
      <c r="M81" s="12">
        <f t="shared" si="38"/>
        <v>0</v>
      </c>
    </row>
    <row r="82" spans="1:13" ht="15.75" customHeight="1" x14ac:dyDescent="0.2">
      <c r="A82" s="28"/>
      <c r="B82" s="28"/>
      <c r="C82" s="13" t="s">
        <v>12</v>
      </c>
      <c r="D82" s="11"/>
      <c r="E82" s="6">
        <f>(('[1]PURCHASE COST'!D81/18)+(('[1]PURCHASE COST'!D81/18)*3.87%))*D82</f>
        <v>0</v>
      </c>
      <c r="F82" s="32"/>
      <c r="G82" s="8"/>
      <c r="H82" s="14" t="s">
        <v>12</v>
      </c>
      <c r="I82" s="11"/>
      <c r="J82" s="8">
        <f t="shared" si="39"/>
        <v>0</v>
      </c>
      <c r="K82" s="6">
        <f>(('[1]PURCHASE COST'!D81/18)+(('[1]PURCHASE COST'!D81/18)*3.87%))*I82</f>
        <v>0</v>
      </c>
      <c r="L82" s="32"/>
      <c r="M82" s="12">
        <f t="shared" si="38"/>
        <v>0</v>
      </c>
    </row>
    <row r="83" spans="1:13" ht="15.75" customHeight="1" x14ac:dyDescent="0.2">
      <c r="A83" s="28"/>
      <c r="B83" s="28"/>
      <c r="C83" s="13" t="s">
        <v>13</v>
      </c>
      <c r="D83" s="11"/>
      <c r="E83" s="6">
        <f>(('[1]PURCHASE COST'!D82/24)+(('[1]PURCHASE COST'!D82/24)*3.87%))*D83</f>
        <v>0</v>
      </c>
      <c r="F83" s="32"/>
      <c r="G83" s="8"/>
      <c r="H83" s="14" t="s">
        <v>13</v>
      </c>
      <c r="I83" s="11"/>
      <c r="J83" s="8">
        <f t="shared" si="39"/>
        <v>0</v>
      </c>
      <c r="K83" s="6">
        <f>(('[1]PURCHASE COST'!D82/24)+(('[1]PURCHASE COST'!D82/24)*3.87%))*I83</f>
        <v>0</v>
      </c>
      <c r="L83" s="32"/>
      <c r="M83" s="12">
        <f t="shared" si="38"/>
        <v>0</v>
      </c>
    </row>
    <row r="84" spans="1:13" ht="15.75" customHeight="1" thickBot="1" x14ac:dyDescent="0.25">
      <c r="A84" s="29"/>
      <c r="B84" s="29"/>
      <c r="C84" s="13" t="s">
        <v>14</v>
      </c>
      <c r="D84" s="11">
        <v>16</v>
      </c>
      <c r="E84" s="6">
        <f>((('[1]PURCHASE COST'!D79/9)+(('[1]PURCHASE COST'!D79/9)*3.87%))/16.5)*D84</f>
        <v>910.97837037037038</v>
      </c>
      <c r="F84" s="33"/>
      <c r="G84" s="8"/>
      <c r="H84" s="14" t="s">
        <v>14</v>
      </c>
      <c r="I84" s="11">
        <v>11.5</v>
      </c>
      <c r="J84" s="8">
        <f t="shared" ref="J84" si="40">((((D80+G80)-I80)*16.5)+D84)-I84</f>
        <v>21</v>
      </c>
      <c r="K84" s="15">
        <f>((('[1]PURCHASE COST'!D79/9)+(('[1]PURCHASE COST'!D79/9)*3.87%))/16.5)*I84</f>
        <v>654.76570370370371</v>
      </c>
      <c r="L84" s="34"/>
      <c r="M84" s="12"/>
    </row>
    <row r="85" spans="1:13" ht="15.75" customHeight="1" thickTop="1" x14ac:dyDescent="0.2">
      <c r="A85" s="27">
        <v>17</v>
      </c>
      <c r="B85" s="30" t="s">
        <v>30</v>
      </c>
      <c r="C85" s="4" t="s">
        <v>10</v>
      </c>
      <c r="D85" s="11">
        <v>69</v>
      </c>
      <c r="E85" s="6">
        <f>(('[1]PURCHASE COST'!D84/9)+(('[1]PURCHASE COST'!D84/9)*3.87%))*D85</f>
        <v>59725.25</v>
      </c>
      <c r="F85" s="45">
        <f>E85+E86+E87+E88+E89</f>
        <v>60040.007575757576</v>
      </c>
      <c r="G85" s="5"/>
      <c r="H85" s="7" t="s">
        <v>10</v>
      </c>
      <c r="I85" s="11">
        <v>68</v>
      </c>
      <c r="J85" s="8"/>
      <c r="K85" s="9">
        <f>(('[1]PURCHASE COST'!D84/9)+(('[1]PURCHASE COST'!D84/9)*3.87%))*I85</f>
        <v>58859.666666666672</v>
      </c>
      <c r="L85" s="31">
        <f>K85+K86+K87+K88+K89</f>
        <v>59305.573232323237</v>
      </c>
      <c r="M85" s="10">
        <f t="shared" ref="M85:M88" si="41">D85-I85</f>
        <v>1</v>
      </c>
    </row>
    <row r="86" spans="1:13" ht="15.75" customHeight="1" x14ac:dyDescent="0.2">
      <c r="A86" s="28"/>
      <c r="B86" s="28"/>
      <c r="C86" s="4" t="s">
        <v>11</v>
      </c>
      <c r="D86" s="11"/>
      <c r="E86" s="6">
        <f>(('[1]PURCHASE COST'!D85/12)+(('[1]PURCHASE COST'!D85/12)*3.87%))*D86</f>
        <v>0</v>
      </c>
      <c r="F86" s="32"/>
      <c r="G86" s="8"/>
      <c r="H86" s="7" t="s">
        <v>11</v>
      </c>
      <c r="I86" s="11"/>
      <c r="J86" s="8">
        <f t="shared" ref="J86:J88" si="42">(D86+G86)-I86</f>
        <v>0</v>
      </c>
      <c r="K86" s="6">
        <f>(('[1]PURCHASE COST'!D85/12)+(('[1]PURCHASE COST'!D85/12)*3.87%))*I86</f>
        <v>0</v>
      </c>
      <c r="L86" s="32"/>
      <c r="M86" s="12">
        <f t="shared" si="41"/>
        <v>0</v>
      </c>
    </row>
    <row r="87" spans="1:13" ht="15.75" customHeight="1" x14ac:dyDescent="0.2">
      <c r="A87" s="28"/>
      <c r="B87" s="28"/>
      <c r="C87" s="13" t="s">
        <v>12</v>
      </c>
      <c r="D87" s="11"/>
      <c r="E87" s="6">
        <f>(('[1]PURCHASE COST'!D86/18)+(('[1]PURCHASE COST'!D86/18)*3.87%))*D87</f>
        <v>0</v>
      </c>
      <c r="F87" s="32"/>
      <c r="G87" s="8"/>
      <c r="H87" s="14" t="s">
        <v>12</v>
      </c>
      <c r="I87" s="11"/>
      <c r="J87" s="8">
        <v>0</v>
      </c>
      <c r="K87" s="6">
        <f>(('[1]PURCHASE COST'!D86/18)+(('[1]PURCHASE COST'!D86/18)*3.87%))*I87</f>
        <v>0</v>
      </c>
      <c r="L87" s="32"/>
      <c r="M87" s="12">
        <f t="shared" si="41"/>
        <v>0</v>
      </c>
    </row>
    <row r="88" spans="1:13" ht="15.75" customHeight="1" x14ac:dyDescent="0.2">
      <c r="A88" s="28"/>
      <c r="B88" s="28"/>
      <c r="C88" s="13" t="s">
        <v>13</v>
      </c>
      <c r="D88" s="11"/>
      <c r="E88" s="6">
        <f>(('[1]PURCHASE COST'!D87/24)+(('[1]PURCHASE COST'!D87/24)*3.87%))*D88</f>
        <v>0</v>
      </c>
      <c r="F88" s="32"/>
      <c r="G88" s="8"/>
      <c r="H88" s="14" t="s">
        <v>13</v>
      </c>
      <c r="I88" s="11"/>
      <c r="J88" s="8">
        <f t="shared" si="42"/>
        <v>0</v>
      </c>
      <c r="K88" s="6">
        <f>(('[1]PURCHASE COST'!D87/24)+(('[1]PURCHASE COST'!D87/24)*3.87%))*I88</f>
        <v>0</v>
      </c>
      <c r="L88" s="32"/>
      <c r="M88" s="12">
        <f t="shared" si="41"/>
        <v>0</v>
      </c>
    </row>
    <row r="89" spans="1:13" ht="15.75" customHeight="1" thickBot="1" x14ac:dyDescent="0.25">
      <c r="A89" s="29"/>
      <c r="B89" s="29"/>
      <c r="C89" s="13" t="s">
        <v>14</v>
      </c>
      <c r="D89" s="11">
        <v>6</v>
      </c>
      <c r="E89" s="6">
        <f>((('[1]PURCHASE COST'!D84/9)+(('[1]PURCHASE COST'!D84/9)*3.87%))/16.5)*D89</f>
        <v>314.75757575757575</v>
      </c>
      <c r="F89" s="33"/>
      <c r="G89" s="8"/>
      <c r="H89" s="14" t="s">
        <v>14</v>
      </c>
      <c r="I89" s="11">
        <v>8.5</v>
      </c>
      <c r="J89" s="8">
        <f>((((D85+G85)-I85)*16.5)+D89)-I89</f>
        <v>14</v>
      </c>
      <c r="K89" s="15">
        <f>((('[1]PURCHASE COST'!D84/9)+(('[1]PURCHASE COST'!D84/9)*3.87%))/16.5)*I89</f>
        <v>445.90656565656565</v>
      </c>
      <c r="L89" s="34"/>
      <c r="M89" s="12"/>
    </row>
    <row r="90" spans="1:13" ht="15.75" customHeight="1" thickTop="1" x14ac:dyDescent="0.2">
      <c r="A90" s="27">
        <v>18</v>
      </c>
      <c r="B90" s="30" t="s">
        <v>31</v>
      </c>
      <c r="C90" s="4" t="s">
        <v>10</v>
      </c>
      <c r="D90" s="11"/>
      <c r="E90" s="6">
        <f>(('[1]PURCHASE COST'!D89/9)+(('[1]PURCHASE COST'!D89/9)*3.87%))*D90</f>
        <v>0</v>
      </c>
      <c r="F90" s="45">
        <f>E90+E91+E92+E93+E94</f>
        <v>0</v>
      </c>
      <c r="G90" s="5"/>
      <c r="H90" s="7" t="s">
        <v>10</v>
      </c>
      <c r="I90" s="11"/>
      <c r="J90" s="8"/>
      <c r="K90" s="9">
        <f>(('[1]PURCHASE COST'!D89/9)+(('[1]PURCHASE COST'!D89/9)*3.87%))*I90</f>
        <v>0</v>
      </c>
      <c r="L90" s="31">
        <f>K90+K91+K92+K93+K94</f>
        <v>0</v>
      </c>
      <c r="M90" s="10">
        <f t="shared" ref="M90:M93" si="43">D90-I90</f>
        <v>0</v>
      </c>
    </row>
    <row r="91" spans="1:13" ht="15.75" customHeight="1" x14ac:dyDescent="0.2">
      <c r="A91" s="28"/>
      <c r="B91" s="28"/>
      <c r="C91" s="4" t="s">
        <v>11</v>
      </c>
      <c r="D91" s="11"/>
      <c r="E91" s="6">
        <f>(('[1]PURCHASE COST'!D90/12)+(('[1]PURCHASE COST'!D90/12)*3.87%))*D91</f>
        <v>0</v>
      </c>
      <c r="F91" s="32"/>
      <c r="G91" s="8"/>
      <c r="H91" s="7" t="s">
        <v>11</v>
      </c>
      <c r="I91" s="11"/>
      <c r="J91" s="8">
        <f t="shared" ref="J91:J93" si="44">(D91+G91)-I91</f>
        <v>0</v>
      </c>
      <c r="K91" s="6">
        <f>(('[1]PURCHASE COST'!D90/12)+(('[1]PURCHASE COST'!D90/12)*3.87%))*I91</f>
        <v>0</v>
      </c>
      <c r="L91" s="32"/>
      <c r="M91" s="12">
        <f t="shared" si="43"/>
        <v>0</v>
      </c>
    </row>
    <row r="92" spans="1:13" ht="15.75" customHeight="1" x14ac:dyDescent="0.2">
      <c r="A92" s="28"/>
      <c r="B92" s="28"/>
      <c r="C92" s="13" t="s">
        <v>12</v>
      </c>
      <c r="D92" s="11"/>
      <c r="E92" s="6">
        <f>(('[1]PURCHASE COST'!D91/18)+(('[1]PURCHASE COST'!D91/18)*3.87%))*D92</f>
        <v>0</v>
      </c>
      <c r="F92" s="32"/>
      <c r="G92" s="8"/>
      <c r="H92" s="14" t="s">
        <v>12</v>
      </c>
      <c r="I92" s="11"/>
      <c r="J92" s="8">
        <f t="shared" si="44"/>
        <v>0</v>
      </c>
      <c r="K92" s="6">
        <f>(('[1]PURCHASE COST'!D91/18)+(('[1]PURCHASE COST'!D91/18)*3.87%))*I92</f>
        <v>0</v>
      </c>
      <c r="L92" s="32"/>
      <c r="M92" s="12">
        <f t="shared" si="43"/>
        <v>0</v>
      </c>
    </row>
    <row r="93" spans="1:13" ht="15.75" customHeight="1" x14ac:dyDescent="0.2">
      <c r="A93" s="28"/>
      <c r="B93" s="28"/>
      <c r="C93" s="13" t="s">
        <v>13</v>
      </c>
      <c r="D93" s="11"/>
      <c r="E93" s="6">
        <f>(('[1]PURCHASE COST'!D92/24)+(('[1]PURCHASE COST'!D92/24)*3.87%))*D93</f>
        <v>0</v>
      </c>
      <c r="F93" s="32"/>
      <c r="G93" s="8"/>
      <c r="H93" s="14" t="s">
        <v>13</v>
      </c>
      <c r="I93" s="11"/>
      <c r="J93" s="8">
        <f t="shared" si="44"/>
        <v>0</v>
      </c>
      <c r="K93" s="6">
        <f>(('[1]PURCHASE COST'!D92/24)+(('[1]PURCHASE COST'!D92/24)*3.87%))*I93</f>
        <v>0</v>
      </c>
      <c r="L93" s="32"/>
      <c r="M93" s="12">
        <f t="shared" si="43"/>
        <v>0</v>
      </c>
    </row>
    <row r="94" spans="1:13" ht="15.75" customHeight="1" thickBot="1" x14ac:dyDescent="0.25">
      <c r="A94" s="29"/>
      <c r="B94" s="29"/>
      <c r="C94" s="13" t="s">
        <v>14</v>
      </c>
      <c r="D94" s="11"/>
      <c r="E94" s="6">
        <f>((('[1]PURCHASE COST'!D90/12)+(('[1]PURCHASE COST'!D90/12)*3.87%))/12.5)*D94</f>
        <v>0</v>
      </c>
      <c r="F94" s="33"/>
      <c r="G94" s="8"/>
      <c r="H94" s="14" t="s">
        <v>14</v>
      </c>
      <c r="I94" s="11"/>
      <c r="J94" s="8">
        <f t="shared" ref="J94" si="45">((((D90+G90)-I90)*16.5)+D94)-I94</f>
        <v>0</v>
      </c>
      <c r="K94" s="15">
        <f>((('[1]PURCHASE COST'!D90/12)+(('[1]PURCHASE COST'!D90/12)*3.87%))/12.5)*I94</f>
        <v>0</v>
      </c>
      <c r="L94" s="34"/>
      <c r="M94" s="12"/>
    </row>
    <row r="95" spans="1:13" ht="15.75" customHeight="1" thickTop="1" x14ac:dyDescent="0.2">
      <c r="A95" s="27">
        <v>19</v>
      </c>
      <c r="B95" s="30" t="s">
        <v>32</v>
      </c>
      <c r="C95" s="4" t="s">
        <v>10</v>
      </c>
      <c r="D95" s="11"/>
      <c r="E95" s="6">
        <f>(('[1]PURCHASE COST'!D94/9)+(('[1]PURCHASE COST'!D94/9)*3.87%))*D95</f>
        <v>0</v>
      </c>
      <c r="F95" s="45">
        <f>E95+E96+E97+E98+E99</f>
        <v>4704.2722999999996</v>
      </c>
      <c r="G95" s="5"/>
      <c r="H95" s="7" t="s">
        <v>10</v>
      </c>
      <c r="I95" s="11"/>
      <c r="J95" s="8"/>
      <c r="K95" s="9">
        <f>(('[1]PURCHASE COST'!D94/9)+(('[1]PURCHASE COST'!D94/9)*3.87%))*I95</f>
        <v>0</v>
      </c>
      <c r="L95" s="31">
        <f>K95+K96+K97+K98+K99</f>
        <v>4688.3455666666669</v>
      </c>
      <c r="M95" s="10">
        <f t="shared" ref="M95:M98" si="46">D95-I95</f>
        <v>0</v>
      </c>
    </row>
    <row r="96" spans="1:13" ht="15.75" customHeight="1" x14ac:dyDescent="0.2">
      <c r="A96" s="28"/>
      <c r="B96" s="28"/>
      <c r="C96" s="4" t="s">
        <v>11</v>
      </c>
      <c r="D96" s="11">
        <v>11</v>
      </c>
      <c r="E96" s="6">
        <f>(('[1]PURCHASE COST'!D95/12)+(('[1]PURCHASE COST'!D95/12)*3.87%))*D96</f>
        <v>2189.9258333333332</v>
      </c>
      <c r="F96" s="32"/>
      <c r="G96" s="8"/>
      <c r="H96" s="7" t="s">
        <v>11</v>
      </c>
      <c r="I96" s="11">
        <v>11</v>
      </c>
      <c r="J96" s="8">
        <f t="shared" ref="J96:J98" si="47">(D96+G96)-I96</f>
        <v>0</v>
      </c>
      <c r="K96" s="6">
        <f>(('[1]PURCHASE COST'!D95/12)+(('[1]PURCHASE COST'!D95/12)*3.87%))*I96</f>
        <v>2189.9258333333332</v>
      </c>
      <c r="L96" s="32"/>
      <c r="M96" s="12">
        <f t="shared" si="46"/>
        <v>0</v>
      </c>
    </row>
    <row r="97" spans="1:13" ht="15.75" customHeight="1" x14ac:dyDescent="0.2">
      <c r="A97" s="28"/>
      <c r="B97" s="28"/>
      <c r="C97" s="13" t="s">
        <v>12</v>
      </c>
      <c r="D97" s="11"/>
      <c r="E97" s="6">
        <f>(('[1]PURCHASE COST'!D96/18)+(('[1]PURCHASE COST'!D96/18)*3.87%))*D97</f>
        <v>0</v>
      </c>
      <c r="F97" s="32"/>
      <c r="G97" s="8"/>
      <c r="H97" s="14" t="s">
        <v>12</v>
      </c>
      <c r="I97" s="11"/>
      <c r="J97" s="8">
        <f t="shared" si="47"/>
        <v>0</v>
      </c>
      <c r="K97" s="6">
        <f>(('[1]PURCHASE COST'!D96/18)+(('[1]PURCHASE COST'!D96/18)*3.87%))*I97</f>
        <v>0</v>
      </c>
      <c r="L97" s="32"/>
      <c r="M97" s="12">
        <f t="shared" si="46"/>
        <v>0</v>
      </c>
    </row>
    <row r="98" spans="1:13" ht="15.75" customHeight="1" x14ac:dyDescent="0.2">
      <c r="A98" s="28"/>
      <c r="B98" s="28"/>
      <c r="C98" s="13" t="s">
        <v>13</v>
      </c>
      <c r="D98" s="11">
        <v>21</v>
      </c>
      <c r="E98" s="6">
        <f>(('[1]PURCHASE COST'!D97/24)+(('[1]PURCHASE COST'!D97/24)*3.87%))*D98</f>
        <v>2363.0425</v>
      </c>
      <c r="F98" s="32"/>
      <c r="G98" s="8"/>
      <c r="H98" s="14" t="s">
        <v>13</v>
      </c>
      <c r="I98" s="11">
        <v>21</v>
      </c>
      <c r="J98" s="8">
        <f t="shared" si="47"/>
        <v>0</v>
      </c>
      <c r="K98" s="6">
        <f>(('[1]PURCHASE COST'!D97/24)+(('[1]PURCHASE COST'!D97/24)*3.87%))*I98</f>
        <v>2363.0425</v>
      </c>
      <c r="L98" s="32"/>
      <c r="M98" s="12">
        <f t="shared" si="46"/>
        <v>0</v>
      </c>
    </row>
    <row r="99" spans="1:13" ht="15.75" customHeight="1" thickBot="1" x14ac:dyDescent="0.25">
      <c r="A99" s="29"/>
      <c r="B99" s="29"/>
      <c r="C99" s="13" t="s">
        <v>14</v>
      </c>
      <c r="D99" s="11">
        <v>9.5</v>
      </c>
      <c r="E99" s="6">
        <f>((('[1]PURCHASE COST'!D95/12)+(('[1]PURCHASE COST'!D95/12)*3.87%))/12.5)*D99</f>
        <v>151.30396666666664</v>
      </c>
      <c r="F99" s="33"/>
      <c r="G99" s="8"/>
      <c r="H99" s="14" t="s">
        <v>14</v>
      </c>
      <c r="I99" s="11">
        <v>8.5</v>
      </c>
      <c r="J99" s="8">
        <f t="shared" ref="J99" si="48">((((D95+G95)-I95)*16.5)+D99)-I99</f>
        <v>1</v>
      </c>
      <c r="K99" s="15">
        <f>((('[1]PURCHASE COST'!D95/12)+(('[1]PURCHASE COST'!D95/12)*3.87%))/12.5)*I99</f>
        <v>135.37723333333332</v>
      </c>
      <c r="L99" s="34"/>
      <c r="M99" s="12"/>
    </row>
    <row r="100" spans="1:13" ht="15.75" customHeight="1" thickTop="1" x14ac:dyDescent="0.2">
      <c r="A100" s="27">
        <v>20</v>
      </c>
      <c r="B100" s="30" t="s">
        <v>33</v>
      </c>
      <c r="C100" s="4" t="s">
        <v>10</v>
      </c>
      <c r="D100" s="11">
        <v>46</v>
      </c>
      <c r="E100" s="6">
        <f>(('[1]PURCHASE COST'!D99/9)+(('[1]PURCHASE COST'!D99/9)*3.87%))*D100</f>
        <v>33021.427111111108</v>
      </c>
      <c r="F100" s="45">
        <f>E100+E101+E102+E103+E104</f>
        <v>56239.572146464641</v>
      </c>
      <c r="G100" s="5"/>
      <c r="H100" s="7" t="s">
        <v>10</v>
      </c>
      <c r="I100" s="11">
        <v>44</v>
      </c>
      <c r="J100" s="8"/>
      <c r="K100" s="9">
        <f>(('[1]PURCHASE COST'!D99/9)+(('[1]PURCHASE COST'!D99/9)*3.87%))*I100</f>
        <v>31585.712888888887</v>
      </c>
      <c r="L100" s="31">
        <f>K100+K101+K102+K103+K104</f>
        <v>54673.338449494942</v>
      </c>
      <c r="M100" s="10">
        <f t="shared" ref="M100:M113" si="49">D100-I100</f>
        <v>2</v>
      </c>
    </row>
    <row r="101" spans="1:13" ht="15.75" customHeight="1" x14ac:dyDescent="0.2">
      <c r="A101" s="28"/>
      <c r="B101" s="28"/>
      <c r="C101" s="4" t="s">
        <v>11</v>
      </c>
      <c r="D101" s="11"/>
      <c r="E101" s="6">
        <f>(('[1]PURCHASE COST'!D100/12)+(('[1]PURCHASE COST'!D100/12)*3.87%))*D101</f>
        <v>0</v>
      </c>
      <c r="F101" s="32"/>
      <c r="G101" s="8"/>
      <c r="H101" s="7" t="s">
        <v>11</v>
      </c>
      <c r="I101" s="11"/>
      <c r="J101" s="8">
        <f t="shared" ref="J101:J103" si="50">(D101+G101)-I101</f>
        <v>0</v>
      </c>
      <c r="K101" s="6">
        <f>(('[1]PURCHASE COST'!D100/12)+(('[1]PURCHASE COST'!D100/12)*3.87%))*I101</f>
        <v>0</v>
      </c>
      <c r="L101" s="32"/>
      <c r="M101" s="12">
        <f t="shared" si="49"/>
        <v>0</v>
      </c>
    </row>
    <row r="102" spans="1:13" ht="15.75" customHeight="1" x14ac:dyDescent="0.2">
      <c r="A102" s="28"/>
      <c r="B102" s="28"/>
      <c r="C102" s="13" t="s">
        <v>12</v>
      </c>
      <c r="D102" s="11">
        <v>49</v>
      </c>
      <c r="E102" s="6">
        <f>(('[1]PURCHASE COST'!D101/18)+(('[1]PURCHASE COST'!D101/18)*3.87%))*D102</f>
        <v>17530.947777777779</v>
      </c>
      <c r="F102" s="32"/>
      <c r="G102" s="8"/>
      <c r="H102" s="14" t="s">
        <v>12</v>
      </c>
      <c r="I102" s="11">
        <v>49</v>
      </c>
      <c r="J102" s="8">
        <f t="shared" si="50"/>
        <v>0</v>
      </c>
      <c r="K102" s="6">
        <f>(('[1]PURCHASE COST'!D101/18)+(('[1]PURCHASE COST'!D101/18)*3.87%))*I102</f>
        <v>17530.947777777779</v>
      </c>
      <c r="L102" s="32"/>
      <c r="M102" s="12">
        <f t="shared" si="49"/>
        <v>0</v>
      </c>
    </row>
    <row r="103" spans="1:13" ht="15.75" customHeight="1" x14ac:dyDescent="0.2">
      <c r="A103" s="28"/>
      <c r="B103" s="28"/>
      <c r="C103" s="13" t="s">
        <v>13</v>
      </c>
      <c r="D103" s="11">
        <v>19</v>
      </c>
      <c r="E103" s="6">
        <f>(('[1]PURCHASE COST'!D102/24)+(('[1]PURCHASE COST'!D102/24)*3.87%))*D103</f>
        <v>5295.6388333333334</v>
      </c>
      <c r="F103" s="32"/>
      <c r="G103" s="8"/>
      <c r="H103" s="14" t="s">
        <v>13</v>
      </c>
      <c r="I103" s="11">
        <v>19</v>
      </c>
      <c r="J103" s="8">
        <f t="shared" si="50"/>
        <v>0</v>
      </c>
      <c r="K103" s="6">
        <f>(('[1]PURCHASE COST'!D102/24)+(('[1]PURCHASE COST'!D102/24)*3.87%))*I103</f>
        <v>5295.6388333333334</v>
      </c>
      <c r="L103" s="32"/>
      <c r="M103" s="12">
        <f t="shared" si="49"/>
        <v>0</v>
      </c>
    </row>
    <row r="104" spans="1:13" ht="15.75" customHeight="1" thickBot="1" x14ac:dyDescent="0.25">
      <c r="A104" s="29"/>
      <c r="B104" s="29"/>
      <c r="C104" s="13" t="s">
        <v>14</v>
      </c>
      <c r="D104" s="11">
        <v>9</v>
      </c>
      <c r="E104" s="6">
        <f>((('[1]PURCHASE COST'!D99/9)+(('[1]PURCHASE COST'!D99/9)*3.87%))/16.5)*D104</f>
        <v>391.55842424242417</v>
      </c>
      <c r="F104" s="33"/>
      <c r="G104" s="8"/>
      <c r="H104" s="14" t="s">
        <v>14</v>
      </c>
      <c r="I104" s="11">
        <v>6</v>
      </c>
      <c r="J104" s="8">
        <f t="shared" ref="J104" si="51">((((D100+G100)-I100)*16.5)+D104)-I104</f>
        <v>36</v>
      </c>
      <c r="K104" s="15">
        <f>((('[1]PURCHASE COST'!D99/9)+(('[1]PURCHASE COST'!D99/9)*3.87%))/16.5)*I104</f>
        <v>261.03894949494946</v>
      </c>
      <c r="L104" s="34"/>
      <c r="M104" s="12"/>
    </row>
    <row r="105" spans="1:13" ht="15.75" customHeight="1" thickTop="1" x14ac:dyDescent="0.2">
      <c r="A105" s="27">
        <v>21</v>
      </c>
      <c r="B105" s="30" t="s">
        <v>34</v>
      </c>
      <c r="C105" s="4" t="s">
        <v>10</v>
      </c>
      <c r="D105" s="11">
        <v>961</v>
      </c>
      <c r="E105" s="6">
        <f>(('[1]PURCHASE COST'!D104/9)+(('[1]PURCHASE COST'!D104/9)*3.87%))*D105</f>
        <v>645496.65266666654</v>
      </c>
      <c r="F105" s="45">
        <f>E105+E106+E107+E108+E109</f>
        <v>664092.89745959581</v>
      </c>
      <c r="G105" s="5"/>
      <c r="H105" s="7" t="s">
        <v>10</v>
      </c>
      <c r="I105" s="11">
        <v>915</v>
      </c>
      <c r="J105" s="8"/>
      <c r="K105" s="9">
        <f>(('[1]PURCHASE COST'!D104/9)+(('[1]PURCHASE COST'!D104/9)*3.87%))*I105</f>
        <v>614598.78999999992</v>
      </c>
      <c r="L105" s="31">
        <f>K105+K106+K107+K108+K109</f>
        <v>632797.12875757564</v>
      </c>
      <c r="M105" s="10">
        <f t="shared" si="49"/>
        <v>46</v>
      </c>
    </row>
    <row r="106" spans="1:13" ht="15.75" customHeight="1" x14ac:dyDescent="0.2">
      <c r="A106" s="28"/>
      <c r="B106" s="28"/>
      <c r="C106" s="4" t="s">
        <v>11</v>
      </c>
      <c r="D106" s="11"/>
      <c r="E106" s="6">
        <f>(('[1]PURCHASE COST'!D105/12)+(('[1]PURCHASE COST'!D105/12)*3.87%))*D106</f>
        <v>0</v>
      </c>
      <c r="F106" s="32"/>
      <c r="G106" s="8"/>
      <c r="H106" s="7" t="s">
        <v>11</v>
      </c>
      <c r="I106" s="11"/>
      <c r="J106" s="8">
        <f t="shared" ref="J106:J108" si="52">(D106+G106)-I106</f>
        <v>0</v>
      </c>
      <c r="K106" s="6">
        <f>(('[1]PURCHASE COST'!D105/12)+(('[1]PURCHASE COST'!D105/12)*3.87%))*I106</f>
        <v>0</v>
      </c>
      <c r="L106" s="32"/>
      <c r="M106" s="12">
        <f t="shared" si="49"/>
        <v>0</v>
      </c>
    </row>
    <row r="107" spans="1:13" ht="15.75" customHeight="1" x14ac:dyDescent="0.2">
      <c r="A107" s="28"/>
      <c r="B107" s="28"/>
      <c r="C107" s="13" t="s">
        <v>12</v>
      </c>
      <c r="D107" s="11"/>
      <c r="E107" s="6">
        <f>(('[1]PURCHASE COST'!D106/18)+(('[1]PURCHASE COST'!D106/18)*3.87%))*D107</f>
        <v>0</v>
      </c>
      <c r="F107" s="32"/>
      <c r="G107" s="8"/>
      <c r="H107" s="14" t="s">
        <v>12</v>
      </c>
      <c r="I107" s="11"/>
      <c r="J107" s="8">
        <f t="shared" si="52"/>
        <v>0</v>
      </c>
      <c r="K107" s="6">
        <f>(('[1]PURCHASE COST'!D106/18)+(('[1]PURCHASE COST'!D106/18)*3.87%))*I107</f>
        <v>0</v>
      </c>
      <c r="L107" s="32"/>
      <c r="M107" s="12">
        <f t="shared" si="49"/>
        <v>0</v>
      </c>
    </row>
    <row r="108" spans="1:13" ht="15.75" customHeight="1" x14ac:dyDescent="0.2">
      <c r="A108" s="28"/>
      <c r="B108" s="28"/>
      <c r="C108" s="13" t="s">
        <v>13</v>
      </c>
      <c r="D108" s="11">
        <v>69</v>
      </c>
      <c r="E108" s="6">
        <f>(('[1]PURCHASE COST'!D107/24)+(('[1]PURCHASE COST'!D107/24)*3.87%))*D108</f>
        <v>18514.827499999999</v>
      </c>
      <c r="F108" s="32"/>
      <c r="G108" s="8"/>
      <c r="H108" s="14" t="s">
        <v>13</v>
      </c>
      <c r="I108" s="11">
        <v>66</v>
      </c>
      <c r="J108" s="8">
        <f t="shared" si="52"/>
        <v>3</v>
      </c>
      <c r="K108" s="6">
        <f>(('[1]PURCHASE COST'!D107/24)+(('[1]PURCHASE COST'!D107/24)*3.87%))*I108</f>
        <v>17709.834999999999</v>
      </c>
      <c r="L108" s="32"/>
      <c r="M108" s="12">
        <f t="shared" si="49"/>
        <v>3</v>
      </c>
    </row>
    <row r="109" spans="1:13" ht="15.75" customHeight="1" thickBot="1" x14ac:dyDescent="0.25">
      <c r="A109" s="29"/>
      <c r="B109" s="29"/>
      <c r="C109" s="13" t="s">
        <v>14</v>
      </c>
      <c r="D109" s="11">
        <v>2</v>
      </c>
      <c r="E109" s="6">
        <f>((('[1]PURCHASE COST'!D104/9)+(('[1]PURCHASE COST'!D104/9)*3.87%))/16.5)*D109</f>
        <v>81.417292929292913</v>
      </c>
      <c r="F109" s="33"/>
      <c r="G109" s="8"/>
      <c r="H109" s="14" t="s">
        <v>14</v>
      </c>
      <c r="I109" s="11">
        <v>12</v>
      </c>
      <c r="J109" s="8">
        <f t="shared" ref="J109" si="53">((((D105+G105)-I105)*16.5)+D109)-I109</f>
        <v>749</v>
      </c>
      <c r="K109" s="15">
        <f>((('[1]PURCHASE COST'!D104/9)+(('[1]PURCHASE COST'!D104/9)*3.87%))/16.5)*I109</f>
        <v>488.5037575757575</v>
      </c>
      <c r="L109" s="34"/>
      <c r="M109" s="12"/>
    </row>
    <row r="110" spans="1:13" ht="15.75" customHeight="1" thickTop="1" x14ac:dyDescent="0.2">
      <c r="A110" s="27">
        <v>22</v>
      </c>
      <c r="B110" s="30" t="s">
        <v>35</v>
      </c>
      <c r="C110" s="4" t="s">
        <v>10</v>
      </c>
      <c r="D110" s="11"/>
      <c r="E110" s="6">
        <f>(('[1]PURCHASE COST'!D109/9)+(('[1]PURCHASE COST'!D109/9)*3.87%))*D110</f>
        <v>0</v>
      </c>
      <c r="F110" s="45">
        <f>E110+E111+E112+E113+E114</f>
        <v>1697.9975133333332</v>
      </c>
      <c r="G110" s="5"/>
      <c r="H110" s="7" t="s">
        <v>10</v>
      </c>
      <c r="I110" s="11"/>
      <c r="J110" s="8"/>
      <c r="K110" s="9">
        <f>(('[1]PURCHASE COST'!D109/9)+(('[1]PURCHASE COST'!D109/9)*3.87%))*I110</f>
        <v>0</v>
      </c>
      <c r="L110" s="31">
        <f>K110+K111+K112+K113+K114</f>
        <v>1259.8046066666666</v>
      </c>
      <c r="M110" s="10">
        <f t="shared" si="49"/>
        <v>0</v>
      </c>
    </row>
    <row r="111" spans="1:13" ht="15.75" customHeight="1" x14ac:dyDescent="0.2">
      <c r="A111" s="28"/>
      <c r="B111" s="28"/>
      <c r="C111" s="4" t="s">
        <v>11</v>
      </c>
      <c r="D111" s="11">
        <v>1</v>
      </c>
      <c r="E111" s="6">
        <f>(('[1]PURCHASE COST'!D110/12)+(('[1]PURCHASE COST'!D110/12)*3.87%))*D111</f>
        <v>1369.3528333333334</v>
      </c>
      <c r="F111" s="32"/>
      <c r="G111" s="8"/>
      <c r="H111" s="7" t="s">
        <v>11</v>
      </c>
      <c r="I111" s="11">
        <v>0</v>
      </c>
      <c r="J111" s="8">
        <f t="shared" ref="J111:J113" si="54">(D111+G111)-I111</f>
        <v>1</v>
      </c>
      <c r="K111" s="6">
        <f>(('[1]PURCHASE COST'!D110/12)+(('[1]PURCHASE COST'!D110/12)*3.87%))*I111</f>
        <v>0</v>
      </c>
      <c r="L111" s="32"/>
      <c r="M111" s="12">
        <f t="shared" si="49"/>
        <v>1</v>
      </c>
    </row>
    <row r="112" spans="1:13" ht="15.75" customHeight="1" x14ac:dyDescent="0.2">
      <c r="A112" s="28"/>
      <c r="B112" s="28"/>
      <c r="C112" s="13" t="s">
        <v>12</v>
      </c>
      <c r="D112" s="11"/>
      <c r="E112" s="6">
        <f>(('[1]PURCHASE COST'!D111/18)+(('[1]PURCHASE COST'!D111/18)*3.87%))*D112</f>
        <v>0</v>
      </c>
      <c r="F112" s="32"/>
      <c r="G112" s="8"/>
      <c r="H112" s="14" t="s">
        <v>12</v>
      </c>
      <c r="I112" s="11"/>
      <c r="J112" s="8">
        <f t="shared" si="54"/>
        <v>0</v>
      </c>
      <c r="K112" s="6">
        <f>(('[1]PURCHASE COST'!D111/18)+(('[1]PURCHASE COST'!D111/18)*3.87%))*I112</f>
        <v>0</v>
      </c>
      <c r="L112" s="32"/>
      <c r="M112" s="12">
        <f t="shared" si="49"/>
        <v>0</v>
      </c>
    </row>
    <row r="113" spans="1:13" ht="15.75" customHeight="1" x14ac:dyDescent="0.2">
      <c r="A113" s="28"/>
      <c r="B113" s="28"/>
      <c r="C113" s="13" t="s">
        <v>13</v>
      </c>
      <c r="D113" s="11"/>
      <c r="E113" s="6">
        <f>(('[1]PURCHASE COST'!D112/24)+(('[1]PURCHASE COST'!D112/24)*3.87%))*D113</f>
        <v>0</v>
      </c>
      <c r="F113" s="32"/>
      <c r="G113" s="8"/>
      <c r="H113" s="14" t="s">
        <v>13</v>
      </c>
      <c r="I113" s="11"/>
      <c r="J113" s="8">
        <f t="shared" si="54"/>
        <v>0</v>
      </c>
      <c r="K113" s="6">
        <f>(('[1]PURCHASE COST'!D112/24)+(('[1]PURCHASE COST'!D112/24)*3.87%))*I113</f>
        <v>0</v>
      </c>
      <c r="L113" s="32"/>
      <c r="M113" s="12">
        <f t="shared" si="49"/>
        <v>0</v>
      </c>
    </row>
    <row r="114" spans="1:13" ht="15.75" customHeight="1" thickBot="1" x14ac:dyDescent="0.25">
      <c r="A114" s="29"/>
      <c r="B114" s="29"/>
      <c r="C114" s="13" t="s">
        <v>14</v>
      </c>
      <c r="D114" s="11">
        <v>3</v>
      </c>
      <c r="E114" s="6">
        <f>((('[1]PURCHASE COST'!D110/12)+(('[1]PURCHASE COST'!D110/12)*3.87%))/12.5)*D114</f>
        <v>328.64467999999999</v>
      </c>
      <c r="F114" s="33"/>
      <c r="G114" s="8"/>
      <c r="H114" s="14" t="s">
        <v>14</v>
      </c>
      <c r="I114" s="11">
        <v>11.5</v>
      </c>
      <c r="J114" s="8">
        <f>((((D111+G111)-I111)*12.5)+D114)-I114</f>
        <v>4</v>
      </c>
      <c r="K114" s="15">
        <f>((('[1]PURCHASE COST'!D110/12)+(('[1]PURCHASE COST'!D110/12)*3.87%))/12.5)*I114</f>
        <v>1259.8046066666666</v>
      </c>
      <c r="L114" s="34"/>
      <c r="M114" s="12"/>
    </row>
    <row r="115" spans="1:13" ht="15.75" customHeight="1" thickTop="1" x14ac:dyDescent="0.2">
      <c r="A115" s="27">
        <v>23</v>
      </c>
      <c r="B115" s="30" t="s">
        <v>36</v>
      </c>
      <c r="C115" s="4" t="s">
        <v>10</v>
      </c>
      <c r="D115" s="11">
        <v>15</v>
      </c>
      <c r="E115" s="6">
        <f>(('[1]PURCHASE COST'!D114/9)+(('[1]PURCHASE COST'!D114/9)*3.87%))*D115</f>
        <v>16515.329999999998</v>
      </c>
      <c r="F115" s="45">
        <f>E115+E116+E117+E118+E119</f>
        <v>17182.616060606058</v>
      </c>
      <c r="G115" s="5"/>
      <c r="H115" s="7" t="s">
        <v>10</v>
      </c>
      <c r="I115" s="11">
        <v>15</v>
      </c>
      <c r="J115" s="8"/>
      <c r="K115" s="9">
        <f>(('[1]PURCHASE COST'!D114/9)+(('[1]PURCHASE COST'!D114/9)*3.87%))*I115</f>
        <v>16515.329999999998</v>
      </c>
      <c r="L115" s="31">
        <f>K115+K116+K117+K118+K119</f>
        <v>16949.065939393939</v>
      </c>
      <c r="M115" s="10">
        <f t="shared" ref="M115:M118" si="55">D115-I115</f>
        <v>0</v>
      </c>
    </row>
    <row r="116" spans="1:13" ht="15.75" customHeight="1" x14ac:dyDescent="0.2">
      <c r="A116" s="28"/>
      <c r="B116" s="28"/>
      <c r="C116" s="4" t="s">
        <v>11</v>
      </c>
      <c r="D116" s="11"/>
      <c r="E116" s="6">
        <f>(('[1]PURCHASE COST'!D115/12)+(('[1]PURCHASE COST'!D115/12)*3.87%))*D116</f>
        <v>0</v>
      </c>
      <c r="F116" s="32"/>
      <c r="G116" s="8"/>
      <c r="H116" s="7" t="s">
        <v>11</v>
      </c>
      <c r="I116" s="11"/>
      <c r="J116" s="8">
        <f t="shared" ref="J116:J118" si="56">(D116+G116)-I116</f>
        <v>0</v>
      </c>
      <c r="K116" s="6">
        <f>(('[1]PURCHASE COST'!D115/12)+(('[1]PURCHASE COST'!D115/12)*3.87%))*I116</f>
        <v>0</v>
      </c>
      <c r="L116" s="32"/>
      <c r="M116" s="12">
        <f t="shared" si="55"/>
        <v>0</v>
      </c>
    </row>
    <row r="117" spans="1:13" ht="15.75" customHeight="1" x14ac:dyDescent="0.2">
      <c r="A117" s="28"/>
      <c r="B117" s="28"/>
      <c r="C117" s="13" t="s">
        <v>12</v>
      </c>
      <c r="D117" s="11"/>
      <c r="E117" s="6">
        <f>(('[1]PURCHASE COST'!D116/18)+(('[1]PURCHASE COST'!D116/18)*3.87%))*D117</f>
        <v>0</v>
      </c>
      <c r="F117" s="32"/>
      <c r="G117" s="8"/>
      <c r="H117" s="14" t="s">
        <v>12</v>
      </c>
      <c r="I117" s="11"/>
      <c r="J117" s="8">
        <f t="shared" si="56"/>
        <v>0</v>
      </c>
      <c r="K117" s="6">
        <f>(('[1]PURCHASE COST'!D116/18)+(('[1]PURCHASE COST'!D116/18)*3.87%))*I117</f>
        <v>0</v>
      </c>
      <c r="L117" s="32"/>
      <c r="M117" s="12">
        <f t="shared" si="55"/>
        <v>0</v>
      </c>
    </row>
    <row r="118" spans="1:13" ht="15.75" customHeight="1" x14ac:dyDescent="0.2">
      <c r="A118" s="28"/>
      <c r="B118" s="28"/>
      <c r="C118" s="13" t="s">
        <v>13</v>
      </c>
      <c r="D118" s="11"/>
      <c r="E118" s="6">
        <f>(('[1]PURCHASE COST'!D117/24)+(('[1]PURCHASE COST'!D117/24)*3.87%))*D118</f>
        <v>0</v>
      </c>
      <c r="F118" s="32"/>
      <c r="G118" s="8"/>
      <c r="H118" s="14" t="s">
        <v>13</v>
      </c>
      <c r="I118" s="11"/>
      <c r="J118" s="8">
        <f t="shared" si="56"/>
        <v>0</v>
      </c>
      <c r="K118" s="6">
        <f>(('[1]PURCHASE COST'!D117/24)+(('[1]PURCHASE COST'!D117/24)*3.87%))*I118</f>
        <v>0</v>
      </c>
      <c r="L118" s="32"/>
      <c r="M118" s="12">
        <f t="shared" si="55"/>
        <v>0</v>
      </c>
    </row>
    <row r="119" spans="1:13" ht="15.75" customHeight="1" thickBot="1" x14ac:dyDescent="0.25">
      <c r="A119" s="29"/>
      <c r="B119" s="29"/>
      <c r="C119" s="13" t="s">
        <v>14</v>
      </c>
      <c r="D119" s="11">
        <v>10</v>
      </c>
      <c r="E119" s="6">
        <f>((('[1]PURCHASE COST'!D114/9)+(('[1]PURCHASE COST'!D114/9)*3.87%))/16.5)*D119</f>
        <v>667.28606060606057</v>
      </c>
      <c r="F119" s="33"/>
      <c r="G119" s="8"/>
      <c r="H119" s="14" t="s">
        <v>14</v>
      </c>
      <c r="I119" s="11">
        <v>6.5</v>
      </c>
      <c r="J119" s="8">
        <f t="shared" ref="J119" si="57">((((D115+G115)-I115)*16.5)+D119)-I119</f>
        <v>3.5</v>
      </c>
      <c r="K119" s="15">
        <f>((('[1]PURCHASE COST'!D114/9)+(('[1]PURCHASE COST'!D114/9)*3.87%))/16.5)*I119</f>
        <v>433.73593939393936</v>
      </c>
      <c r="L119" s="34"/>
      <c r="M119" s="12"/>
    </row>
    <row r="120" spans="1:13" ht="15.75" customHeight="1" thickTop="1" x14ac:dyDescent="0.2">
      <c r="A120" s="27">
        <v>24</v>
      </c>
      <c r="B120" s="30" t="s">
        <v>37</v>
      </c>
      <c r="C120" s="4" t="s">
        <v>10</v>
      </c>
      <c r="D120" s="11"/>
      <c r="E120" s="6">
        <f>(('[1]PURCHASE COST'!D119/9)+(('[1]PURCHASE COST'!D119/9)*3.87%))*D120</f>
        <v>0</v>
      </c>
      <c r="F120" s="45">
        <f>E120+E121+E122+E123+E124</f>
        <v>2665.1657066666667</v>
      </c>
      <c r="G120" s="5"/>
      <c r="H120" s="7" t="s">
        <v>10</v>
      </c>
      <c r="I120" s="11"/>
      <c r="J120" s="8">
        <v>0</v>
      </c>
      <c r="K120" s="9">
        <f>(('[1]PURCHASE COST'!D119/9)+(('[1]PURCHASE COST'!D119/9)*3.87%))*I120</f>
        <v>0</v>
      </c>
      <c r="L120" s="31">
        <f>K120+K121+K122+K123+K124</f>
        <v>1920.4870533333333</v>
      </c>
      <c r="M120" s="10">
        <f t="shared" ref="M120:M128" si="58">D120-I120</f>
        <v>0</v>
      </c>
    </row>
    <row r="121" spans="1:13" ht="15.75" customHeight="1" x14ac:dyDescent="0.2">
      <c r="A121" s="28"/>
      <c r="B121" s="28"/>
      <c r="C121" s="4" t="s">
        <v>11</v>
      </c>
      <c r="D121" s="11">
        <v>2</v>
      </c>
      <c r="E121" s="6">
        <f>(('[1]PURCHASE COST'!D120/12)+(('[1]PURCHASE COST'!D120/12)*3.87%))*D121</f>
        <v>1959.6806666666666</v>
      </c>
      <c r="F121" s="32"/>
      <c r="G121" s="8"/>
      <c r="H121" s="7" t="s">
        <v>11</v>
      </c>
      <c r="I121" s="11">
        <v>1</v>
      </c>
      <c r="J121" s="8">
        <f t="shared" ref="J121:J123" si="59">(D121+G121)-I121</f>
        <v>1</v>
      </c>
      <c r="K121" s="6">
        <f>(('[1]PURCHASE COST'!D120/12)+(('[1]PURCHASE COST'!D120/12)*3.87%))*I121</f>
        <v>979.84033333333332</v>
      </c>
      <c r="L121" s="32"/>
      <c r="M121" s="12">
        <f t="shared" si="58"/>
        <v>1</v>
      </c>
    </row>
    <row r="122" spans="1:13" ht="15.75" customHeight="1" x14ac:dyDescent="0.2">
      <c r="A122" s="28"/>
      <c r="B122" s="28"/>
      <c r="C122" s="13" t="s">
        <v>12</v>
      </c>
      <c r="D122" s="11"/>
      <c r="E122" s="6">
        <f>(('[1]PURCHASE COST'!D121/18)+(('[1]PURCHASE COST'!D121/18)*3.87%))*D122</f>
        <v>0</v>
      </c>
      <c r="F122" s="32"/>
      <c r="G122" s="8"/>
      <c r="H122" s="14" t="s">
        <v>12</v>
      </c>
      <c r="I122" s="11"/>
      <c r="J122" s="8">
        <f t="shared" si="59"/>
        <v>0</v>
      </c>
      <c r="K122" s="6">
        <f>(('[1]PURCHASE COST'!D121/18)+(('[1]PURCHASE COST'!D121/18)*3.87%))*I122</f>
        <v>0</v>
      </c>
      <c r="L122" s="32"/>
      <c r="M122" s="12">
        <f t="shared" si="58"/>
        <v>0</v>
      </c>
    </row>
    <row r="123" spans="1:13" ht="15.75" customHeight="1" x14ac:dyDescent="0.2">
      <c r="A123" s="28"/>
      <c r="B123" s="28"/>
      <c r="C123" s="13" t="s">
        <v>13</v>
      </c>
      <c r="D123" s="11"/>
      <c r="E123" s="6">
        <f>(('[1]PURCHASE COST'!D122/24)+(('[1]PURCHASE COST'!D122/24)*3.87%))*D123</f>
        <v>0</v>
      </c>
      <c r="F123" s="32"/>
      <c r="G123" s="8"/>
      <c r="H123" s="14" t="s">
        <v>13</v>
      </c>
      <c r="I123" s="11"/>
      <c r="J123" s="8">
        <f t="shared" si="59"/>
        <v>0</v>
      </c>
      <c r="K123" s="6">
        <f>(('[1]PURCHASE COST'!D122/24)+(('[1]PURCHASE COST'!D122/24)*3.87%))*I123</f>
        <v>0</v>
      </c>
      <c r="L123" s="32"/>
      <c r="M123" s="12">
        <f t="shared" si="58"/>
        <v>0</v>
      </c>
    </row>
    <row r="124" spans="1:13" ht="15.75" customHeight="1" thickBot="1" x14ac:dyDescent="0.25">
      <c r="A124" s="29"/>
      <c r="B124" s="29"/>
      <c r="C124" s="13" t="s">
        <v>14</v>
      </c>
      <c r="D124" s="11">
        <v>9</v>
      </c>
      <c r="E124" s="6">
        <f>((('[1]PURCHASE COST'!D120/12)+(('[1]PURCHASE COST'!D120/12)*3.87%))/12.5)*D124</f>
        <v>705.48504000000003</v>
      </c>
      <c r="F124" s="33"/>
      <c r="G124" s="8"/>
      <c r="H124" s="14" t="s">
        <v>14</v>
      </c>
      <c r="I124" s="11">
        <v>12</v>
      </c>
      <c r="J124" s="8">
        <f>((((D121+G121)-I121)*12.5)+D124)-I124</f>
        <v>9.5</v>
      </c>
      <c r="K124" s="15">
        <f>((('[1]PURCHASE COST'!D120/12)+(('[1]PURCHASE COST'!D120/12)*3.87%))/12.5)*I124</f>
        <v>940.64671999999996</v>
      </c>
      <c r="L124" s="34"/>
      <c r="M124" s="12"/>
    </row>
    <row r="125" spans="1:13" ht="15.75" customHeight="1" thickTop="1" x14ac:dyDescent="0.2">
      <c r="A125" s="27">
        <v>25</v>
      </c>
      <c r="B125" s="30" t="s">
        <v>38</v>
      </c>
      <c r="C125" s="4" t="s">
        <v>10</v>
      </c>
      <c r="D125" s="11"/>
      <c r="E125" s="6">
        <f>(('[1]PURCHASE COST'!D124/9)+(('[1]PURCHASE COST'!D124/9)*3.87%))*D125</f>
        <v>0</v>
      </c>
      <c r="F125" s="45">
        <f>E125+E126+E127+E128+E129</f>
        <v>11096.778333333332</v>
      </c>
      <c r="G125" s="5"/>
      <c r="H125" s="7" t="s">
        <v>10</v>
      </c>
      <c r="I125" s="11"/>
      <c r="J125" s="8"/>
      <c r="K125" s="9">
        <f>(('[1]PURCHASE COST'!D124/9)+(('[1]PURCHASE COST'!D124/9)*3.87%))*I125</f>
        <v>0</v>
      </c>
      <c r="L125" s="31">
        <f>K125+K126+K127+K128+K129</f>
        <v>11940.133486666666</v>
      </c>
      <c r="M125" s="10">
        <f t="shared" si="58"/>
        <v>0</v>
      </c>
    </row>
    <row r="126" spans="1:13" ht="15.75" customHeight="1" x14ac:dyDescent="0.2">
      <c r="A126" s="28"/>
      <c r="B126" s="28"/>
      <c r="C126" s="4" t="s">
        <v>11</v>
      </c>
      <c r="D126" s="11">
        <v>10</v>
      </c>
      <c r="E126" s="6">
        <f>(('[1]PURCHASE COST'!D125/12)+(('[1]PURCHASE COST'!D125/12)*3.87%))*D126</f>
        <v>11096.778333333332</v>
      </c>
      <c r="F126" s="32"/>
      <c r="G126" s="8"/>
      <c r="H126" s="7" t="s">
        <v>11</v>
      </c>
      <c r="I126" s="11">
        <v>10</v>
      </c>
      <c r="J126" s="8">
        <f t="shared" ref="J126:J128" si="60">(D126+G126)-I126</f>
        <v>0</v>
      </c>
      <c r="K126" s="6">
        <f>(('[1]PURCHASE COST'!D125/12)+(('[1]PURCHASE COST'!D125/12)*3.87%))*I126</f>
        <v>11096.778333333332</v>
      </c>
      <c r="L126" s="32"/>
      <c r="M126" s="12">
        <f t="shared" si="58"/>
        <v>0</v>
      </c>
    </row>
    <row r="127" spans="1:13" ht="15.75" customHeight="1" x14ac:dyDescent="0.2">
      <c r="A127" s="28"/>
      <c r="B127" s="28"/>
      <c r="C127" s="13" t="s">
        <v>12</v>
      </c>
      <c r="D127" s="11"/>
      <c r="E127" s="6">
        <f>(('[1]PURCHASE COST'!D126/18)+(('[1]PURCHASE COST'!D126/18)*3.87%))*D127</f>
        <v>0</v>
      </c>
      <c r="F127" s="32"/>
      <c r="G127" s="8"/>
      <c r="H127" s="14" t="s">
        <v>12</v>
      </c>
      <c r="I127" s="11"/>
      <c r="J127" s="8">
        <f t="shared" si="60"/>
        <v>0</v>
      </c>
      <c r="K127" s="6">
        <f>(('[1]PURCHASE COST'!D126/18)+(('[1]PURCHASE COST'!D126/18)*3.87%))*I127</f>
        <v>0</v>
      </c>
      <c r="L127" s="32"/>
      <c r="M127" s="12">
        <f t="shared" si="58"/>
        <v>0</v>
      </c>
    </row>
    <row r="128" spans="1:13" ht="15.75" customHeight="1" x14ac:dyDescent="0.2">
      <c r="A128" s="28"/>
      <c r="B128" s="28"/>
      <c r="C128" s="13" t="s">
        <v>13</v>
      </c>
      <c r="D128" s="11"/>
      <c r="E128" s="6">
        <f>(('[1]PURCHASE COST'!D127/24)+(('[1]PURCHASE COST'!D127/24)*3.87%))*D128</f>
        <v>0</v>
      </c>
      <c r="F128" s="32"/>
      <c r="G128" s="8"/>
      <c r="H128" s="14" t="s">
        <v>13</v>
      </c>
      <c r="I128" s="11"/>
      <c r="J128" s="8">
        <f t="shared" si="60"/>
        <v>0</v>
      </c>
      <c r="K128" s="6">
        <f>(('[1]PURCHASE COST'!D127/24)+(('[1]PURCHASE COST'!D127/24)*3.87%))*I128</f>
        <v>0</v>
      </c>
      <c r="L128" s="32"/>
      <c r="M128" s="12">
        <f t="shared" si="58"/>
        <v>0</v>
      </c>
    </row>
    <row r="129" spans="1:13" ht="15.75" customHeight="1" thickBot="1" x14ac:dyDescent="0.25">
      <c r="A129" s="29"/>
      <c r="B129" s="29"/>
      <c r="C129" s="13" t="s">
        <v>14</v>
      </c>
      <c r="D129" s="21">
        <v>9.5</v>
      </c>
      <c r="E129" s="6">
        <f>((('[1]PURCHASE COST'!D124/9)+(('[1]PURCHASE COST'!D124/9)*3.87%))/16.5)*D129</f>
        <v>0</v>
      </c>
      <c r="F129" s="33"/>
      <c r="G129" s="8"/>
      <c r="H129" s="14" t="s">
        <v>14</v>
      </c>
      <c r="I129" s="21">
        <v>9.5</v>
      </c>
      <c r="J129" s="8">
        <f t="shared" ref="J129" si="61">((((D125+G125)-I125)*16.5)+D129)-I129</f>
        <v>0</v>
      </c>
      <c r="K129" s="15">
        <f>((('[1]PURCHASE COST'!D125/12)+(('[1]PURCHASE COST'!D125/12)*3.87%))/12.5)*I129</f>
        <v>843.35515333333319</v>
      </c>
      <c r="L129" s="34"/>
      <c r="M129" s="22"/>
    </row>
    <row r="130" spans="1:13" ht="15.75" customHeight="1" x14ac:dyDescent="0.2">
      <c r="A130" s="49">
        <v>26</v>
      </c>
      <c r="B130" s="50" t="s">
        <v>79</v>
      </c>
      <c r="C130" s="51" t="s">
        <v>40</v>
      </c>
      <c r="D130" s="54">
        <v>26</v>
      </c>
      <c r="E130" s="57">
        <f>(('[1]PURCHASE COST'!D126/12)+(('[1]PURCHASE COST'!D126/12)*1.87%))*D130</f>
        <v>29223.10733333333</v>
      </c>
      <c r="F130" s="58"/>
      <c r="G130" s="62"/>
      <c r="H130" s="46" t="s">
        <v>40</v>
      </c>
      <c r="I130" s="54">
        <v>26</v>
      </c>
      <c r="J130" s="62">
        <f>(D130:D132+G130)-I130:I132</f>
        <v>0</v>
      </c>
      <c r="K130" s="57">
        <f>I130*(INDEX('PRODUCT PRICE'!D129:D131, 1)/12)</f>
        <v>3466.666666666667</v>
      </c>
      <c r="L130" s="58"/>
      <c r="M130" s="65">
        <f>D130:D132-I130:I132</f>
        <v>0</v>
      </c>
    </row>
    <row r="131" spans="1:13" ht="15.75" customHeight="1" x14ac:dyDescent="0.2">
      <c r="A131" s="28"/>
      <c r="B131" s="28"/>
      <c r="C131" s="52"/>
      <c r="D131" s="55"/>
      <c r="E131" s="36"/>
      <c r="F131" s="59"/>
      <c r="G131" s="63"/>
      <c r="H131" s="36"/>
      <c r="I131" s="55"/>
      <c r="J131" s="63"/>
      <c r="K131" s="36"/>
      <c r="L131" s="59"/>
      <c r="M131" s="55"/>
    </row>
    <row r="132" spans="1:13" ht="15.75" customHeight="1" thickBot="1" x14ac:dyDescent="0.25">
      <c r="A132" s="29"/>
      <c r="B132" s="29"/>
      <c r="C132" s="53"/>
      <c r="D132" s="56"/>
      <c r="E132" s="60"/>
      <c r="F132" s="61"/>
      <c r="G132" s="64"/>
      <c r="H132" s="60"/>
      <c r="I132" s="56"/>
      <c r="J132" s="64"/>
      <c r="K132" s="60"/>
      <c r="L132" s="61"/>
      <c r="M132" s="56"/>
    </row>
    <row r="133" spans="1:13" ht="15.75" customHeight="1" x14ac:dyDescent="0.2">
      <c r="A133" s="49">
        <v>26</v>
      </c>
      <c r="B133" s="50" t="s">
        <v>41</v>
      </c>
      <c r="C133" s="51" t="s">
        <v>40</v>
      </c>
      <c r="D133" s="54">
        <v>1462</v>
      </c>
      <c r="E133" s="57">
        <f>(('[1]PURCHASE COST'!D132/12)+(('[1]PURCHASE COST'!D132/12)*1.87%))*D133</f>
        <v>173756.26333333334</v>
      </c>
      <c r="F133" s="58"/>
      <c r="G133" s="62"/>
      <c r="H133" s="46" t="s">
        <v>40</v>
      </c>
      <c r="I133" s="54">
        <v>1392</v>
      </c>
      <c r="J133" s="62">
        <f t="shared" ref="J133" si="62">(D133:D135+G133)-I133:I135</f>
        <v>70</v>
      </c>
      <c r="K133" s="57">
        <f>I133*(INDEX('PRODUCT PRICE'!D132:D134, 1)/12)</f>
        <v>162400</v>
      </c>
      <c r="L133" s="58"/>
      <c r="M133" s="65">
        <f>D133:D135-I133:I135</f>
        <v>70</v>
      </c>
    </row>
    <row r="134" spans="1:13" ht="15.75" customHeight="1" x14ac:dyDescent="0.2">
      <c r="A134" s="28"/>
      <c r="B134" s="28"/>
      <c r="C134" s="52"/>
      <c r="D134" s="55"/>
      <c r="E134" s="36"/>
      <c r="F134" s="59"/>
      <c r="G134" s="63"/>
      <c r="H134" s="36"/>
      <c r="I134" s="55"/>
      <c r="J134" s="63"/>
      <c r="K134" s="36"/>
      <c r="L134" s="59"/>
      <c r="M134" s="55"/>
    </row>
    <row r="135" spans="1:13" ht="15.75" customHeight="1" thickBot="1" x14ac:dyDescent="0.25">
      <c r="A135" s="29"/>
      <c r="B135" s="29"/>
      <c r="C135" s="53"/>
      <c r="D135" s="56"/>
      <c r="E135" s="60"/>
      <c r="F135" s="61"/>
      <c r="G135" s="64"/>
      <c r="H135" s="60"/>
      <c r="I135" s="56"/>
      <c r="J135" s="64"/>
      <c r="K135" s="60"/>
      <c r="L135" s="61"/>
      <c r="M135" s="56"/>
    </row>
    <row r="136" spans="1:13" ht="15.75" customHeight="1" x14ac:dyDescent="0.2">
      <c r="A136" s="49">
        <v>27</v>
      </c>
      <c r="B136" s="50" t="s">
        <v>42</v>
      </c>
      <c r="C136" s="51" t="s">
        <v>40</v>
      </c>
      <c r="D136" s="54">
        <v>54</v>
      </c>
      <c r="E136" s="57">
        <f>(('[1]PURCHASE COST'!D135/24)+(('[1]PURCHASE COST'!D135/24)*1.87%))*D136</f>
        <v>5500.9800000000005</v>
      </c>
      <c r="F136" s="58"/>
      <c r="G136" s="66"/>
      <c r="H136" s="46" t="s">
        <v>40</v>
      </c>
      <c r="I136" s="54">
        <v>53</v>
      </c>
      <c r="J136" s="62">
        <f t="shared" ref="J136" si="63">(D136:D138+G136)-I136:I138</f>
        <v>1</v>
      </c>
      <c r="K136" s="57">
        <f>I136*(INDEX('PRODUCT PRICE'!D135:D137, 1)/12)</f>
        <v>7066.666666666667</v>
      </c>
      <c r="L136" s="58"/>
      <c r="M136" s="65">
        <f>D136:D138-I136:I138</f>
        <v>1</v>
      </c>
    </row>
    <row r="137" spans="1:13" ht="15.75" customHeight="1" x14ac:dyDescent="0.2">
      <c r="A137" s="28"/>
      <c r="B137" s="28"/>
      <c r="C137" s="52"/>
      <c r="D137" s="55"/>
      <c r="E137" s="36"/>
      <c r="F137" s="59"/>
      <c r="G137" s="63"/>
      <c r="H137" s="36"/>
      <c r="I137" s="55"/>
      <c r="J137" s="63"/>
      <c r="K137" s="36"/>
      <c r="L137" s="59"/>
      <c r="M137" s="55"/>
    </row>
    <row r="138" spans="1:13" ht="15.75" customHeight="1" thickBot="1" x14ac:dyDescent="0.25">
      <c r="A138" s="29"/>
      <c r="B138" s="29"/>
      <c r="C138" s="53"/>
      <c r="D138" s="56"/>
      <c r="E138" s="60"/>
      <c r="F138" s="61"/>
      <c r="G138" s="64"/>
      <c r="H138" s="60"/>
      <c r="I138" s="56"/>
      <c r="J138" s="64"/>
      <c r="K138" s="60"/>
      <c r="L138" s="61"/>
      <c r="M138" s="56"/>
    </row>
    <row r="139" spans="1:13" ht="15.75" customHeight="1" x14ac:dyDescent="0.2">
      <c r="A139" s="49">
        <v>28</v>
      </c>
      <c r="B139" s="50" t="s">
        <v>43</v>
      </c>
      <c r="C139" s="51" t="s">
        <v>40</v>
      </c>
      <c r="D139" s="54">
        <v>789</v>
      </c>
      <c r="E139" s="57">
        <f>(('[1]PURCHASE COST'!D138/12)+(('[1]PURCHASE COST'!D138/12)*1.87%))*D139</f>
        <v>80375.430000000008</v>
      </c>
      <c r="F139" s="58"/>
      <c r="G139" s="66"/>
      <c r="H139" s="46" t="s">
        <v>40</v>
      </c>
      <c r="I139" s="54">
        <v>760</v>
      </c>
      <c r="J139" s="62">
        <v>760</v>
      </c>
      <c r="K139" s="57">
        <f>I139*(INDEX('PRODUCT PRICE'!D138:D140, 1)/12)</f>
        <v>76000</v>
      </c>
      <c r="L139" s="58"/>
      <c r="M139" s="65">
        <f>D139:D141-I139:I141</f>
        <v>29</v>
      </c>
    </row>
    <row r="140" spans="1:13" ht="15.75" customHeight="1" x14ac:dyDescent="0.2">
      <c r="A140" s="28"/>
      <c r="B140" s="28"/>
      <c r="C140" s="52"/>
      <c r="D140" s="55"/>
      <c r="E140" s="36"/>
      <c r="F140" s="59"/>
      <c r="G140" s="63"/>
      <c r="H140" s="36"/>
      <c r="I140" s="55"/>
      <c r="J140" s="63"/>
      <c r="K140" s="36"/>
      <c r="L140" s="59"/>
      <c r="M140" s="55"/>
    </row>
    <row r="141" spans="1:13" ht="15.75" customHeight="1" thickBot="1" x14ac:dyDescent="0.25">
      <c r="A141" s="29"/>
      <c r="B141" s="29"/>
      <c r="C141" s="53"/>
      <c r="D141" s="56"/>
      <c r="E141" s="60"/>
      <c r="F141" s="61"/>
      <c r="G141" s="64"/>
      <c r="H141" s="60"/>
      <c r="I141" s="56"/>
      <c r="J141" s="64"/>
      <c r="K141" s="60"/>
      <c r="L141" s="61"/>
      <c r="M141" s="56"/>
    </row>
    <row r="142" spans="1:13" ht="15.75" customHeight="1" x14ac:dyDescent="0.2">
      <c r="A142" s="49">
        <v>29</v>
      </c>
      <c r="B142" s="50" t="s">
        <v>44</v>
      </c>
      <c r="C142" s="51" t="s">
        <v>40</v>
      </c>
      <c r="D142" s="54">
        <v>17</v>
      </c>
      <c r="E142" s="57">
        <f>(('[1]PURCHASE COST'!D141/12)+(('[1]PURCHASE COST'!D141/12)*1.87%))*D142</f>
        <v>2453.3691666666664</v>
      </c>
      <c r="F142" s="58"/>
      <c r="G142" s="66"/>
      <c r="H142" s="46" t="s">
        <v>40</v>
      </c>
      <c r="I142" s="54">
        <v>17</v>
      </c>
      <c r="J142" s="62">
        <v>17</v>
      </c>
      <c r="K142" s="57">
        <f>I142*(INDEX('PRODUCT PRICE'!D141:D143, 1)/12)</f>
        <v>2408.333333333333</v>
      </c>
      <c r="L142" s="58"/>
      <c r="M142" s="65">
        <f>D142:D144-I142:I144</f>
        <v>0</v>
      </c>
    </row>
    <row r="143" spans="1:13" ht="15.75" customHeight="1" x14ac:dyDescent="0.2">
      <c r="A143" s="28"/>
      <c r="B143" s="28"/>
      <c r="C143" s="52"/>
      <c r="D143" s="55"/>
      <c r="E143" s="36"/>
      <c r="F143" s="59"/>
      <c r="G143" s="63"/>
      <c r="H143" s="36"/>
      <c r="I143" s="55"/>
      <c r="J143" s="63"/>
      <c r="K143" s="36"/>
      <c r="L143" s="59"/>
      <c r="M143" s="55"/>
    </row>
    <row r="144" spans="1:13" ht="15.75" customHeight="1" thickBot="1" x14ac:dyDescent="0.25">
      <c r="A144" s="29"/>
      <c r="B144" s="29"/>
      <c r="C144" s="53"/>
      <c r="D144" s="56"/>
      <c r="E144" s="60"/>
      <c r="F144" s="61"/>
      <c r="G144" s="64"/>
      <c r="H144" s="60"/>
      <c r="I144" s="56"/>
      <c r="J144" s="64"/>
      <c r="K144" s="60"/>
      <c r="L144" s="61"/>
      <c r="M144" s="56"/>
    </row>
    <row r="145" spans="1:13" ht="15.75" customHeight="1" x14ac:dyDescent="0.2">
      <c r="A145" s="49">
        <v>30</v>
      </c>
      <c r="B145" s="50" t="s">
        <v>45</v>
      </c>
      <c r="C145" s="51" t="s">
        <v>40</v>
      </c>
      <c r="D145" s="54">
        <v>0</v>
      </c>
      <c r="E145" s="57">
        <f>(('[1]PURCHASE COST'!D144/12)+(('[1]PURCHASE COST'!D144/12)*1.87%))*D145</f>
        <v>0</v>
      </c>
      <c r="F145" s="58"/>
      <c r="G145" s="66"/>
      <c r="H145" s="46" t="s">
        <v>40</v>
      </c>
      <c r="I145" s="54">
        <v>0</v>
      </c>
      <c r="J145" s="62">
        <f t="shared" ref="J145" si="64">(D145:D147+G145)-I145:I147</f>
        <v>0</v>
      </c>
      <c r="K145" s="57">
        <f>I145*(INDEX('PRODUCT PRICE'!D144:D146, 1)/12)</f>
        <v>0</v>
      </c>
      <c r="L145" s="58"/>
      <c r="M145" s="65">
        <f>D145:D147-I145:I147</f>
        <v>0</v>
      </c>
    </row>
    <row r="146" spans="1:13" ht="15.75" customHeight="1" x14ac:dyDescent="0.2">
      <c r="A146" s="28"/>
      <c r="B146" s="28"/>
      <c r="C146" s="52"/>
      <c r="D146" s="55"/>
      <c r="E146" s="36"/>
      <c r="F146" s="59"/>
      <c r="G146" s="63"/>
      <c r="H146" s="36"/>
      <c r="I146" s="55"/>
      <c r="J146" s="63"/>
      <c r="K146" s="36"/>
      <c r="L146" s="59"/>
      <c r="M146" s="55"/>
    </row>
    <row r="147" spans="1:13" ht="15.75" customHeight="1" thickBot="1" x14ac:dyDescent="0.25">
      <c r="A147" s="29"/>
      <c r="B147" s="29"/>
      <c r="C147" s="53"/>
      <c r="D147" s="56"/>
      <c r="E147" s="60"/>
      <c r="F147" s="61"/>
      <c r="G147" s="64"/>
      <c r="H147" s="60"/>
      <c r="I147" s="56"/>
      <c r="J147" s="64"/>
      <c r="K147" s="60"/>
      <c r="L147" s="61"/>
      <c r="M147" s="56"/>
    </row>
    <row r="148" spans="1:13" ht="15.75" customHeight="1" x14ac:dyDescent="0.2">
      <c r="A148" s="49">
        <v>31</v>
      </c>
      <c r="B148" s="50" t="s">
        <v>46</v>
      </c>
      <c r="C148" s="51" t="s">
        <v>40</v>
      </c>
      <c r="D148" s="54">
        <v>42</v>
      </c>
      <c r="E148" s="57">
        <f>(('[1]PURCHASE COST'!D147/12)+(('[1]PURCHASE COST'!D147/12)*1.87%))*D148</f>
        <v>4278.54</v>
      </c>
      <c r="F148" s="58"/>
      <c r="G148" s="66"/>
      <c r="H148" s="46" t="s">
        <v>40</v>
      </c>
      <c r="I148" s="54">
        <v>35</v>
      </c>
      <c r="J148" s="62">
        <f t="shared" ref="J148" si="65">(D148:D150+G148)-I148:I150</f>
        <v>7</v>
      </c>
      <c r="K148" s="57">
        <f>I148*(INDEX('PRODUCT PRICE'!D147:D149, 1)/12)</f>
        <v>3500</v>
      </c>
      <c r="L148" s="58"/>
      <c r="M148" s="65">
        <f>D148:D150-I148:I150</f>
        <v>7</v>
      </c>
    </row>
    <row r="149" spans="1:13" ht="15.75" customHeight="1" x14ac:dyDescent="0.2">
      <c r="A149" s="28"/>
      <c r="B149" s="28"/>
      <c r="C149" s="52"/>
      <c r="D149" s="55"/>
      <c r="E149" s="36"/>
      <c r="F149" s="59"/>
      <c r="G149" s="63"/>
      <c r="H149" s="36"/>
      <c r="I149" s="55"/>
      <c r="J149" s="63"/>
      <c r="K149" s="36"/>
      <c r="L149" s="59"/>
      <c r="M149" s="55"/>
    </row>
    <row r="150" spans="1:13" ht="15.75" customHeight="1" thickBot="1" x14ac:dyDescent="0.25">
      <c r="A150" s="29"/>
      <c r="B150" s="29"/>
      <c r="C150" s="53"/>
      <c r="D150" s="56"/>
      <c r="E150" s="60"/>
      <c r="F150" s="61"/>
      <c r="G150" s="64"/>
      <c r="H150" s="60"/>
      <c r="I150" s="56"/>
      <c r="J150" s="64"/>
      <c r="K150" s="60"/>
      <c r="L150" s="61"/>
      <c r="M150" s="56"/>
    </row>
    <row r="151" spans="1:13" ht="15.75" customHeight="1" x14ac:dyDescent="0.2">
      <c r="A151" s="49">
        <v>32</v>
      </c>
      <c r="B151" s="50" t="s">
        <v>47</v>
      </c>
      <c r="C151" s="51" t="s">
        <v>40</v>
      </c>
      <c r="D151" s="54">
        <v>75</v>
      </c>
      <c r="E151" s="57">
        <f>(('[1]PURCHASE COST'!D150/12)+(('[1]PURCHASE COST'!D150/12)*1.87%))*D151</f>
        <v>10823.6875</v>
      </c>
      <c r="F151" s="58"/>
      <c r="G151" s="66"/>
      <c r="H151" s="46" t="s">
        <v>40</v>
      </c>
      <c r="I151" s="54">
        <v>67</v>
      </c>
      <c r="J151" s="62">
        <f t="shared" ref="J151" si="66">(D151:D153+G151)-I151:I153</f>
        <v>8</v>
      </c>
      <c r="K151" s="57">
        <f>I151*(INDEX('PRODUCT PRICE'!D150:D152, 1)/12)</f>
        <v>9491.6666666666661</v>
      </c>
      <c r="L151" s="58"/>
      <c r="M151" s="65">
        <f>D151:D153-I151:I153</f>
        <v>8</v>
      </c>
    </row>
    <row r="152" spans="1:13" ht="15.75" customHeight="1" x14ac:dyDescent="0.2">
      <c r="A152" s="28"/>
      <c r="B152" s="28"/>
      <c r="C152" s="52"/>
      <c r="D152" s="55"/>
      <c r="E152" s="36"/>
      <c r="F152" s="59"/>
      <c r="G152" s="63"/>
      <c r="H152" s="36"/>
      <c r="I152" s="55"/>
      <c r="J152" s="63"/>
      <c r="K152" s="36"/>
      <c r="L152" s="59"/>
      <c r="M152" s="55"/>
    </row>
    <row r="153" spans="1:13" ht="15.75" customHeight="1" thickBot="1" x14ac:dyDescent="0.25">
      <c r="A153" s="29"/>
      <c r="B153" s="29"/>
      <c r="C153" s="53"/>
      <c r="D153" s="56"/>
      <c r="E153" s="60"/>
      <c r="F153" s="61"/>
      <c r="G153" s="64"/>
      <c r="H153" s="60"/>
      <c r="I153" s="56"/>
      <c r="J153" s="64"/>
      <c r="K153" s="60"/>
      <c r="L153" s="61"/>
      <c r="M153" s="56"/>
    </row>
    <row r="154" spans="1:13" ht="15.75" customHeight="1" x14ac:dyDescent="0.2">
      <c r="A154" s="49">
        <v>33</v>
      </c>
      <c r="B154" s="50" t="s">
        <v>48</v>
      </c>
      <c r="C154" s="51" t="s">
        <v>13</v>
      </c>
      <c r="D154" s="54">
        <v>69</v>
      </c>
      <c r="E154" s="57">
        <f>(('[1]PURCHASE COST'!D153/24)+(('[1]PURCHASE COST'!D153/24)*1.87%))*D154</f>
        <v>9372.0400000000009</v>
      </c>
      <c r="F154" s="58"/>
      <c r="G154" s="66"/>
      <c r="H154" s="46" t="s">
        <v>13</v>
      </c>
      <c r="I154" s="54">
        <v>67</v>
      </c>
      <c r="J154" s="62">
        <f t="shared" ref="J154" si="67">(D154:D156+G154)-I154:I156</f>
        <v>2</v>
      </c>
      <c r="K154" s="57">
        <f>I154*(INDEX('PRODUCT PRICE'!D153:D155, 1)/12)</f>
        <v>17866.666666666668</v>
      </c>
      <c r="L154" s="58"/>
      <c r="M154" s="65">
        <f>D154:D156-I154:I156</f>
        <v>2</v>
      </c>
    </row>
    <row r="155" spans="1:13" ht="15.75" customHeight="1" x14ac:dyDescent="0.2">
      <c r="A155" s="28"/>
      <c r="B155" s="28"/>
      <c r="C155" s="52"/>
      <c r="D155" s="55"/>
      <c r="E155" s="36"/>
      <c r="F155" s="59"/>
      <c r="G155" s="63"/>
      <c r="H155" s="36"/>
      <c r="I155" s="55"/>
      <c r="J155" s="63"/>
      <c r="K155" s="36"/>
      <c r="L155" s="59"/>
      <c r="M155" s="55"/>
    </row>
    <row r="156" spans="1:13" ht="15.75" customHeight="1" thickBot="1" x14ac:dyDescent="0.25">
      <c r="A156" s="29"/>
      <c r="B156" s="29"/>
      <c r="C156" s="53"/>
      <c r="D156" s="56"/>
      <c r="E156" s="60"/>
      <c r="F156" s="61"/>
      <c r="G156" s="64"/>
      <c r="H156" s="60"/>
      <c r="I156" s="56"/>
      <c r="J156" s="64"/>
      <c r="K156" s="60"/>
      <c r="L156" s="61"/>
      <c r="M156" s="56"/>
    </row>
    <row r="157" spans="1:13" ht="15.75" customHeight="1" x14ac:dyDescent="0.2">
      <c r="A157" s="49">
        <v>34</v>
      </c>
      <c r="B157" s="50" t="s">
        <v>49</v>
      </c>
      <c r="C157" s="51" t="s">
        <v>40</v>
      </c>
      <c r="D157" s="54">
        <v>38</v>
      </c>
      <c r="E157" s="57">
        <f>(('[1]PURCHASE COST'!D159/12)+(('[1]PURCHASE COST'!D159/12)*1.87%))*D157</f>
        <v>4193.6483333333335</v>
      </c>
      <c r="F157" s="58"/>
      <c r="G157" s="66"/>
      <c r="H157" s="46" t="s">
        <v>40</v>
      </c>
      <c r="I157" s="54">
        <v>38</v>
      </c>
      <c r="J157" s="62">
        <f t="shared" ref="J157" si="68">(D157:D159+G157)-I157:I159</f>
        <v>0</v>
      </c>
      <c r="K157" s="57">
        <f>I157*(INDEX('PRODUCT PRICE'!D156:D158, 1)/12)</f>
        <v>4116.6666666666661</v>
      </c>
      <c r="L157" s="58"/>
      <c r="M157" s="65">
        <f>D157:D159-I157:I159</f>
        <v>0</v>
      </c>
    </row>
    <row r="158" spans="1:13" ht="15.75" customHeight="1" x14ac:dyDescent="0.2">
      <c r="A158" s="28"/>
      <c r="B158" s="28"/>
      <c r="C158" s="52"/>
      <c r="D158" s="55"/>
      <c r="E158" s="36"/>
      <c r="F158" s="59"/>
      <c r="G158" s="63"/>
      <c r="H158" s="36"/>
      <c r="I158" s="55"/>
      <c r="J158" s="63"/>
      <c r="K158" s="36"/>
      <c r="L158" s="59"/>
      <c r="M158" s="55"/>
    </row>
    <row r="159" spans="1:13" ht="15.75" customHeight="1" thickBot="1" x14ac:dyDescent="0.25">
      <c r="A159" s="29"/>
      <c r="B159" s="29"/>
      <c r="C159" s="53"/>
      <c r="D159" s="56"/>
      <c r="E159" s="60"/>
      <c r="F159" s="61"/>
      <c r="G159" s="64"/>
      <c r="H159" s="60"/>
      <c r="I159" s="56"/>
      <c r="J159" s="64"/>
      <c r="K159" s="60"/>
      <c r="L159" s="61"/>
      <c r="M159" s="56"/>
    </row>
    <row r="160" spans="1:13" ht="15.75" customHeight="1" x14ac:dyDescent="0.2">
      <c r="A160" s="49">
        <v>35</v>
      </c>
      <c r="B160" s="50" t="s">
        <v>50</v>
      </c>
      <c r="C160" s="51" t="s">
        <v>40</v>
      </c>
      <c r="D160" s="54">
        <v>46</v>
      </c>
      <c r="E160" s="57">
        <f>(('[1]PURCHASE COST'!D162/12)+(('[1]PURCHASE COST'!D162/12)*1.87%))*D160</f>
        <v>10934.046666666667</v>
      </c>
      <c r="F160" s="58"/>
      <c r="G160" s="66"/>
      <c r="H160" s="46" t="s">
        <v>40</v>
      </c>
      <c r="I160" s="54">
        <v>45</v>
      </c>
      <c r="J160" s="62">
        <f t="shared" ref="J160" si="69">(D160:D162+G160)-I160:I162</f>
        <v>1</v>
      </c>
      <c r="K160" s="57">
        <f>I160*(INDEX('PRODUCT PRICE'!D159:D161, 1)/12)</f>
        <v>4875</v>
      </c>
      <c r="L160" s="58"/>
      <c r="M160" s="65">
        <f>D160:D162-I160:I162</f>
        <v>1</v>
      </c>
    </row>
    <row r="161" spans="1:13" ht="15.75" customHeight="1" x14ac:dyDescent="0.2">
      <c r="A161" s="28"/>
      <c r="B161" s="28"/>
      <c r="C161" s="52"/>
      <c r="D161" s="55"/>
      <c r="E161" s="36"/>
      <c r="F161" s="59"/>
      <c r="G161" s="63"/>
      <c r="H161" s="36"/>
      <c r="I161" s="55"/>
      <c r="J161" s="63"/>
      <c r="K161" s="36"/>
      <c r="L161" s="59"/>
      <c r="M161" s="55"/>
    </row>
    <row r="162" spans="1:13" ht="15.75" customHeight="1" thickBot="1" x14ac:dyDescent="0.25">
      <c r="A162" s="29"/>
      <c r="B162" s="29"/>
      <c r="C162" s="53"/>
      <c r="D162" s="56"/>
      <c r="E162" s="60"/>
      <c r="F162" s="61"/>
      <c r="G162" s="64"/>
      <c r="H162" s="60"/>
      <c r="I162" s="56"/>
      <c r="J162" s="64"/>
      <c r="K162" s="60"/>
      <c r="L162" s="61"/>
      <c r="M162" s="56"/>
    </row>
    <row r="163" spans="1:13" ht="15.75" customHeight="1" x14ac:dyDescent="0.2">
      <c r="A163" s="49">
        <v>36</v>
      </c>
      <c r="B163" s="50" t="s">
        <v>78</v>
      </c>
      <c r="C163" s="51" t="s">
        <v>40</v>
      </c>
      <c r="D163" s="54">
        <v>35</v>
      </c>
      <c r="E163" s="57">
        <f>(('[1]PURCHASE COST'!D162/24)+(('[1]PURCHASE COST'!D162/24)*1.87%))*D163</f>
        <v>4159.6916666666666</v>
      </c>
      <c r="F163" s="58"/>
      <c r="G163" s="66"/>
      <c r="H163" s="46" t="s">
        <v>13</v>
      </c>
      <c r="I163" s="54">
        <v>34</v>
      </c>
      <c r="J163" s="62">
        <f t="shared" ref="J163" si="70">(D163:D165+G163)-I163:I165</f>
        <v>1</v>
      </c>
      <c r="K163" s="57">
        <f>I163*(INDEX('PRODUCT PRICE'!D162:D164, 1)/12)</f>
        <v>4250</v>
      </c>
      <c r="L163" s="58"/>
      <c r="M163" s="65">
        <f>D163:D165-I163:I165</f>
        <v>1</v>
      </c>
    </row>
    <row r="164" spans="1:13" ht="15.75" customHeight="1" x14ac:dyDescent="0.2">
      <c r="A164" s="28"/>
      <c r="B164" s="28"/>
      <c r="C164" s="52"/>
      <c r="D164" s="55"/>
      <c r="E164" s="36"/>
      <c r="F164" s="59"/>
      <c r="G164" s="63"/>
      <c r="H164" s="36"/>
      <c r="I164" s="55"/>
      <c r="J164" s="63"/>
      <c r="K164" s="36"/>
      <c r="L164" s="59"/>
      <c r="M164" s="55"/>
    </row>
    <row r="165" spans="1:13" ht="15.75" customHeight="1" thickBot="1" x14ac:dyDescent="0.25">
      <c r="A165" s="29"/>
      <c r="B165" s="29"/>
      <c r="C165" s="53"/>
      <c r="D165" s="67"/>
      <c r="E165" s="60"/>
      <c r="F165" s="61"/>
      <c r="G165" s="68"/>
      <c r="H165" s="60"/>
      <c r="I165" s="67"/>
      <c r="J165" s="64"/>
      <c r="K165" s="60"/>
      <c r="L165" s="61"/>
      <c r="M165" s="56"/>
    </row>
    <row r="166" spans="1:13" ht="15.75" customHeight="1" thickTop="1" x14ac:dyDescent="0.2">
      <c r="A166" s="27">
        <v>37</v>
      </c>
      <c r="B166" s="30" t="s">
        <v>52</v>
      </c>
      <c r="C166" s="4" t="s">
        <v>10</v>
      </c>
      <c r="D166" s="11"/>
      <c r="E166" s="6">
        <f>(('[1]PURCHASE COST'!D165/9)+(('[1]PURCHASE COST'!D165/9)*3.87%))*D166</f>
        <v>0</v>
      </c>
      <c r="F166" s="45">
        <f>E166+E167+E168+E169+E170</f>
        <v>27525.550000000003</v>
      </c>
      <c r="G166" s="5"/>
      <c r="H166" s="7" t="s">
        <v>10</v>
      </c>
      <c r="I166" s="11"/>
      <c r="J166" s="8">
        <f t="shared" ref="J166:J169" si="71">(D166+G166)-I166</f>
        <v>0</v>
      </c>
      <c r="K166" s="9">
        <f>(('[1]PURCHASE COST'!D165/9)+(('[1]PURCHASE COST'!D165/9)*3.87%))*I166</f>
        <v>0</v>
      </c>
      <c r="L166" s="31">
        <f>K166+K167+K168+K169+K170</f>
        <v>27525.550000000003</v>
      </c>
      <c r="M166" s="10">
        <f t="shared" ref="M166:M169" si="72">D166-I166</f>
        <v>0</v>
      </c>
    </row>
    <row r="167" spans="1:13" ht="15.75" customHeight="1" x14ac:dyDescent="0.2">
      <c r="A167" s="28"/>
      <c r="B167" s="28"/>
      <c r="C167" s="4" t="s">
        <v>11</v>
      </c>
      <c r="D167" s="11"/>
      <c r="E167" s="6">
        <f>(('[1]PURCHASE COST'!D166/12)+(('[1]PURCHASE COST'!D166/12)*3.87%))*D167</f>
        <v>0</v>
      </c>
      <c r="F167" s="32"/>
      <c r="G167" s="8"/>
      <c r="H167" s="7" t="s">
        <v>11</v>
      </c>
      <c r="I167" s="11"/>
      <c r="J167" s="8">
        <f t="shared" si="71"/>
        <v>0</v>
      </c>
      <c r="K167" s="6">
        <f>(('[1]PURCHASE COST'!D166/12)+(('[1]PURCHASE COST'!D166/12)*3.87%))*I167</f>
        <v>0</v>
      </c>
      <c r="L167" s="32"/>
      <c r="M167" s="12">
        <f t="shared" si="72"/>
        <v>0</v>
      </c>
    </row>
    <row r="168" spans="1:13" ht="15.75" customHeight="1" x14ac:dyDescent="0.2">
      <c r="A168" s="28"/>
      <c r="B168" s="28"/>
      <c r="C168" s="13" t="s">
        <v>12</v>
      </c>
      <c r="D168" s="11"/>
      <c r="E168" s="6">
        <f>(('[1]PURCHASE COST'!D167/18)+(('[1]PURCHASE COST'!D167/18)*3.87%))*D168</f>
        <v>0</v>
      </c>
      <c r="F168" s="32"/>
      <c r="G168" s="8"/>
      <c r="H168" s="14" t="s">
        <v>12</v>
      </c>
      <c r="I168" s="11"/>
      <c r="J168" s="8">
        <f t="shared" si="71"/>
        <v>0</v>
      </c>
      <c r="K168" s="6">
        <f>(('[1]PURCHASE COST'!D167/18)+(('[1]PURCHASE COST'!D167/18)*3.87%))*I168</f>
        <v>0</v>
      </c>
      <c r="L168" s="32"/>
      <c r="M168" s="12">
        <f t="shared" si="72"/>
        <v>0</v>
      </c>
    </row>
    <row r="169" spans="1:13" ht="15.75" customHeight="1" x14ac:dyDescent="0.2">
      <c r="A169" s="28"/>
      <c r="B169" s="28"/>
      <c r="C169" s="13" t="s">
        <v>13</v>
      </c>
      <c r="D169" s="11">
        <v>106</v>
      </c>
      <c r="E169" s="6">
        <f>(('[1]PURCHASE COST'!D168/24)+(('[1]PURCHASE COST'!D168/24)*3.87%))*D169</f>
        <v>27525.550000000003</v>
      </c>
      <c r="F169" s="32"/>
      <c r="G169" s="8"/>
      <c r="H169" s="14" t="s">
        <v>13</v>
      </c>
      <c r="I169" s="11">
        <v>106</v>
      </c>
      <c r="J169" s="8">
        <f t="shared" si="71"/>
        <v>0</v>
      </c>
      <c r="K169" s="6">
        <f>(('[1]PURCHASE COST'!D168/24)+(('[1]PURCHASE COST'!D168/24)*3.87%))*I169</f>
        <v>27525.550000000003</v>
      </c>
      <c r="L169" s="32"/>
      <c r="M169" s="12">
        <f t="shared" si="72"/>
        <v>0</v>
      </c>
    </row>
    <row r="170" spans="1:13" ht="15.75" customHeight="1" thickBot="1" x14ac:dyDescent="0.25">
      <c r="A170" s="29"/>
      <c r="B170" s="29"/>
      <c r="C170" s="13" t="s">
        <v>14</v>
      </c>
      <c r="D170" s="11"/>
      <c r="E170" s="6">
        <f>((('[1]PURCHASE COST'!D165/9)+(('[1]PURCHASE COST'!D165/9)*3.87%))/16.5)*D170</f>
        <v>0</v>
      </c>
      <c r="F170" s="33"/>
      <c r="G170" s="8"/>
      <c r="H170" s="14" t="s">
        <v>14</v>
      </c>
      <c r="I170" s="11"/>
      <c r="J170" s="8">
        <f t="shared" ref="J170" si="73">((((D166+G166)-I166)*16.5)+D170)-I170</f>
        <v>0</v>
      </c>
      <c r="K170" s="15">
        <f>((('[1]PURCHASE COST'!D165/9)+(('[1]PURCHASE COST'!D165/9)*3.87%))/16.5)*I170</f>
        <v>0</v>
      </c>
      <c r="L170" s="34"/>
      <c r="M170" s="12"/>
    </row>
    <row r="171" spans="1:13" ht="15.75" customHeight="1" thickTop="1" x14ac:dyDescent="0.2">
      <c r="A171" s="27">
        <v>38</v>
      </c>
      <c r="B171" s="30" t="s">
        <v>53</v>
      </c>
      <c r="C171" s="4" t="s">
        <v>10</v>
      </c>
      <c r="D171" s="11"/>
      <c r="E171" s="6">
        <f>(('[1]PURCHASE COST'!D170/9)+(('[1]PURCHASE COST'!D170/9)*3.87%))*D171</f>
        <v>0</v>
      </c>
      <c r="F171" s="45">
        <f>E171+E172+E173+E174+E175</f>
        <v>0</v>
      </c>
      <c r="G171" s="5"/>
      <c r="H171" s="7" t="s">
        <v>10</v>
      </c>
      <c r="I171" s="11"/>
      <c r="J171" s="8">
        <f t="shared" ref="J171:J174" si="74">(D171+G171)-I171</f>
        <v>0</v>
      </c>
      <c r="K171" s="9">
        <f>(('[1]PURCHASE COST'!D170/9)+(('[1]PURCHASE COST'!D170/9)*3.87%))*I171</f>
        <v>0</v>
      </c>
      <c r="L171" s="31">
        <f>K171+K172+K173+K174+K175</f>
        <v>0</v>
      </c>
      <c r="M171" s="10">
        <f t="shared" ref="M171:M174" si="75">D171-I171</f>
        <v>0</v>
      </c>
    </row>
    <row r="172" spans="1:13" ht="15.75" customHeight="1" x14ac:dyDescent="0.2">
      <c r="A172" s="28"/>
      <c r="B172" s="28"/>
      <c r="C172" s="4" t="s">
        <v>11</v>
      </c>
      <c r="D172" s="11"/>
      <c r="E172" s="6">
        <f>(('[1]PURCHASE COST'!D171/12)+(('[1]PURCHASE COST'!D171/12)*3.87%))*D172</f>
        <v>0</v>
      </c>
      <c r="F172" s="32"/>
      <c r="G172" s="8"/>
      <c r="H172" s="7" t="s">
        <v>11</v>
      </c>
      <c r="I172" s="11"/>
      <c r="J172" s="8">
        <f t="shared" si="74"/>
        <v>0</v>
      </c>
      <c r="K172" s="6">
        <f>(('[1]PURCHASE COST'!D171/12)+(('[1]PURCHASE COST'!D171/12)*3.87%))*I172</f>
        <v>0</v>
      </c>
      <c r="L172" s="32"/>
      <c r="M172" s="12">
        <f t="shared" si="75"/>
        <v>0</v>
      </c>
    </row>
    <row r="173" spans="1:13" ht="15.75" customHeight="1" x14ac:dyDescent="0.2">
      <c r="A173" s="28"/>
      <c r="B173" s="28"/>
      <c r="C173" s="13" t="s">
        <v>12</v>
      </c>
      <c r="D173" s="11"/>
      <c r="E173" s="6">
        <f>(('[1]PURCHASE COST'!D172/18)+(('[1]PURCHASE COST'!D172/18)*3.87%))*D173</f>
        <v>0</v>
      </c>
      <c r="F173" s="32"/>
      <c r="G173" s="8"/>
      <c r="H173" s="14" t="s">
        <v>12</v>
      </c>
      <c r="I173" s="11"/>
      <c r="J173" s="8">
        <f t="shared" si="74"/>
        <v>0</v>
      </c>
      <c r="K173" s="6">
        <f>(('[1]PURCHASE COST'!D172/18)+(('[1]PURCHASE COST'!D172/18)*3.87%))*I173</f>
        <v>0</v>
      </c>
      <c r="L173" s="32"/>
      <c r="M173" s="12">
        <f t="shared" si="75"/>
        <v>0</v>
      </c>
    </row>
    <row r="174" spans="1:13" ht="15.75" customHeight="1" x14ac:dyDescent="0.2">
      <c r="A174" s="28"/>
      <c r="B174" s="28"/>
      <c r="C174" s="13" t="s">
        <v>13</v>
      </c>
      <c r="D174" s="11"/>
      <c r="E174" s="6">
        <f>(('[1]PURCHASE COST'!D173/24)+(('[1]PURCHASE COST'!D173/24)*3.87%))*D174</f>
        <v>0</v>
      </c>
      <c r="F174" s="32"/>
      <c r="G174" s="8"/>
      <c r="H174" s="14" t="s">
        <v>13</v>
      </c>
      <c r="I174" s="11"/>
      <c r="J174" s="8">
        <f t="shared" si="74"/>
        <v>0</v>
      </c>
      <c r="K174" s="6">
        <f>(('[1]PURCHASE COST'!D173/24)+(('[1]PURCHASE COST'!D173/24)*3.87%))*I174</f>
        <v>0</v>
      </c>
      <c r="L174" s="32"/>
      <c r="M174" s="12">
        <f t="shared" si="75"/>
        <v>0</v>
      </c>
    </row>
    <row r="175" spans="1:13" ht="15.75" customHeight="1" thickBot="1" x14ac:dyDescent="0.25">
      <c r="A175" s="29"/>
      <c r="B175" s="29"/>
      <c r="C175" s="13" t="s">
        <v>14</v>
      </c>
      <c r="D175" s="11"/>
      <c r="E175" s="6">
        <f>((('[1]PURCHASE COST'!D170/9)+(('[1]PURCHASE COST'!D170/9)*3.87%))/16.5)*D175</f>
        <v>0</v>
      </c>
      <c r="F175" s="33"/>
      <c r="G175" s="8"/>
      <c r="H175" s="14" t="s">
        <v>14</v>
      </c>
      <c r="I175" s="11"/>
      <c r="J175" s="8">
        <f t="shared" ref="J175" si="76">((((D171+G171)-I171)*16.5)+D175)-I175</f>
        <v>0</v>
      </c>
      <c r="K175" s="15">
        <f>((('[1]PURCHASE COST'!D170/9)+(('[1]PURCHASE COST'!D170/9)*3.87%))/16.5)*I175</f>
        <v>0</v>
      </c>
      <c r="L175" s="34"/>
      <c r="M175" s="12"/>
    </row>
    <row r="176" spans="1:13" ht="15.75" customHeight="1" thickTop="1" x14ac:dyDescent="0.2">
      <c r="A176" s="27">
        <v>39</v>
      </c>
      <c r="B176" s="30" t="s">
        <v>54</v>
      </c>
      <c r="C176" s="4" t="s">
        <v>10</v>
      </c>
      <c r="D176" s="11"/>
      <c r="E176" s="6">
        <f>(('[1]PURCHASE COST'!D175/9)+(('[1]PURCHASE COST'!D175/9)*3.87%))*D176</f>
        <v>0</v>
      </c>
      <c r="F176" s="45">
        <f>E176+E177+E178+E179+E180</f>
        <v>5094.8235000000004</v>
      </c>
      <c r="G176" s="5"/>
      <c r="H176" s="7" t="s">
        <v>10</v>
      </c>
      <c r="I176" s="11"/>
      <c r="J176" s="8">
        <f t="shared" ref="J176:J179" si="77">(D176+G176)-I176</f>
        <v>0</v>
      </c>
      <c r="K176" s="9">
        <f>(('[1]PURCHASE COST'!D175/9)+(('[1]PURCHASE COST'!D175/9)*3.87%))*I176</f>
        <v>0</v>
      </c>
      <c r="L176" s="31">
        <f>K176+K177+K178+K179+K180</f>
        <v>5094.8235000000004</v>
      </c>
      <c r="M176" s="10">
        <f t="shared" ref="M176:M179" si="78">D176-I176</f>
        <v>0</v>
      </c>
    </row>
    <row r="177" spans="1:13" ht="15.75" customHeight="1" x14ac:dyDescent="0.2">
      <c r="A177" s="28"/>
      <c r="B177" s="28"/>
      <c r="C177" s="4" t="s">
        <v>11</v>
      </c>
      <c r="D177" s="11">
        <v>3</v>
      </c>
      <c r="E177" s="6">
        <f>(('[1]PURCHASE COST'!D176/12)+(('[1]PURCHASE COST'!D176/12)*3.87%))*D177</f>
        <v>5094.8235000000004</v>
      </c>
      <c r="F177" s="32"/>
      <c r="G177" s="8"/>
      <c r="H177" s="7" t="s">
        <v>11</v>
      </c>
      <c r="I177" s="11">
        <v>3</v>
      </c>
      <c r="J177" s="8">
        <f t="shared" si="77"/>
        <v>0</v>
      </c>
      <c r="K177" s="6">
        <f>(('[1]PURCHASE COST'!D176/12)+(('[1]PURCHASE COST'!D176/12)*3.87%))*I177</f>
        <v>5094.8235000000004</v>
      </c>
      <c r="L177" s="32"/>
      <c r="M177" s="12">
        <f t="shared" si="78"/>
        <v>0</v>
      </c>
    </row>
    <row r="178" spans="1:13" ht="15.75" customHeight="1" x14ac:dyDescent="0.2">
      <c r="A178" s="28"/>
      <c r="B178" s="28"/>
      <c r="C178" s="13" t="s">
        <v>12</v>
      </c>
      <c r="D178" s="11"/>
      <c r="E178" s="6">
        <f>(('[1]PURCHASE COST'!D177/18)+(('[1]PURCHASE COST'!D177/18)*3.87%))*D178</f>
        <v>0</v>
      </c>
      <c r="F178" s="32"/>
      <c r="G178" s="8"/>
      <c r="H178" s="14" t="s">
        <v>12</v>
      </c>
      <c r="I178" s="11"/>
      <c r="J178" s="8">
        <f t="shared" si="77"/>
        <v>0</v>
      </c>
      <c r="K178" s="6">
        <f>(('[1]PURCHASE COST'!D177/18)+(('[1]PURCHASE COST'!D177/18)*3.87%))*I178</f>
        <v>0</v>
      </c>
      <c r="L178" s="32"/>
      <c r="M178" s="12">
        <f t="shared" si="78"/>
        <v>0</v>
      </c>
    </row>
    <row r="179" spans="1:13" ht="15.75" customHeight="1" x14ac:dyDescent="0.2">
      <c r="A179" s="28"/>
      <c r="B179" s="28"/>
      <c r="C179" s="13" t="s">
        <v>13</v>
      </c>
      <c r="D179" s="11"/>
      <c r="E179" s="6">
        <f>(('[1]PURCHASE COST'!D178/24)+(('[1]PURCHASE COST'!D178/24)*3.87%))*D179</f>
        <v>0</v>
      </c>
      <c r="F179" s="32"/>
      <c r="G179" s="8"/>
      <c r="H179" s="14" t="s">
        <v>13</v>
      </c>
      <c r="I179" s="11"/>
      <c r="J179" s="8">
        <f t="shared" si="77"/>
        <v>0</v>
      </c>
      <c r="K179" s="6">
        <f>(('[1]PURCHASE COST'!D178/24)+(('[1]PURCHASE COST'!D178/24)*3.87%))*I179</f>
        <v>0</v>
      </c>
      <c r="L179" s="32"/>
      <c r="M179" s="12">
        <f t="shared" si="78"/>
        <v>0</v>
      </c>
    </row>
    <row r="180" spans="1:13" ht="15.75" customHeight="1" thickBot="1" x14ac:dyDescent="0.25">
      <c r="A180" s="29"/>
      <c r="B180" s="29"/>
      <c r="C180" s="13" t="s">
        <v>14</v>
      </c>
      <c r="D180" s="11">
        <v>3</v>
      </c>
      <c r="E180" s="6">
        <f>((('[1]PURCHASE COST'!D175/9)+(('[1]PURCHASE COST'!D175/9)*3.87%))/16.5)*D180</f>
        <v>0</v>
      </c>
      <c r="F180" s="33"/>
      <c r="G180" s="8"/>
      <c r="H180" s="14" t="s">
        <v>14</v>
      </c>
      <c r="I180" s="11">
        <v>3</v>
      </c>
      <c r="J180" s="8">
        <f t="shared" ref="J180" si="79">((((D176+G176)-I176)*16.5)+D180)-I180</f>
        <v>0</v>
      </c>
      <c r="K180" s="15">
        <f>((('[1]PURCHASE COST'!D175/9)+(('[1]PURCHASE COST'!D175/9)*3.87%))/16.5)*I180</f>
        <v>0</v>
      </c>
      <c r="L180" s="34"/>
      <c r="M180" s="12"/>
    </row>
    <row r="181" spans="1:13" ht="15.75" customHeight="1" thickTop="1" x14ac:dyDescent="0.2">
      <c r="A181" s="27">
        <v>40</v>
      </c>
      <c r="B181" s="30" t="s">
        <v>55</v>
      </c>
      <c r="C181" s="4" t="s">
        <v>10</v>
      </c>
      <c r="D181" s="11"/>
      <c r="E181" s="6">
        <f>(('[1]PURCHASE COST'!D180/9)+(('[1]PURCHASE COST'!D180/9)*3.87%))*D181</f>
        <v>0</v>
      </c>
      <c r="F181" s="45">
        <f>E181+E182+E183+E184+E185</f>
        <v>0</v>
      </c>
      <c r="G181" s="5"/>
      <c r="H181" s="7" t="s">
        <v>10</v>
      </c>
      <c r="I181" s="11"/>
      <c r="J181" s="8">
        <f t="shared" ref="J181:J184" si="80">(D181+G181)-I181</f>
        <v>0</v>
      </c>
      <c r="K181" s="9">
        <f>(('[1]PURCHASE COST'!D180/9)+(('[1]PURCHASE COST'!D180/9)*3.87%))*I181</f>
        <v>0</v>
      </c>
      <c r="L181" s="31">
        <f>K181+K182+K183+K184+K185</f>
        <v>0</v>
      </c>
      <c r="M181" s="10">
        <f t="shared" ref="M181:M184" si="81">D181-I181</f>
        <v>0</v>
      </c>
    </row>
    <row r="182" spans="1:13" ht="15.75" customHeight="1" x14ac:dyDescent="0.2">
      <c r="A182" s="28"/>
      <c r="B182" s="28"/>
      <c r="C182" s="4" t="s">
        <v>11</v>
      </c>
      <c r="D182" s="11"/>
      <c r="E182" s="6">
        <f>(('[1]PURCHASE COST'!D181/12)+(('[1]PURCHASE COST'!D181/12)*3.87%))*D182</f>
        <v>0</v>
      </c>
      <c r="F182" s="32"/>
      <c r="G182" s="8"/>
      <c r="H182" s="7" t="s">
        <v>11</v>
      </c>
      <c r="I182" s="11"/>
      <c r="J182" s="8">
        <f t="shared" si="80"/>
        <v>0</v>
      </c>
      <c r="K182" s="6">
        <f>(('[1]PURCHASE COST'!D181/12)+(('[1]PURCHASE COST'!D181/12)*3.87%))*I182</f>
        <v>0</v>
      </c>
      <c r="L182" s="32"/>
      <c r="M182" s="12">
        <f t="shared" si="81"/>
        <v>0</v>
      </c>
    </row>
    <row r="183" spans="1:13" ht="15.75" customHeight="1" x14ac:dyDescent="0.2">
      <c r="A183" s="28"/>
      <c r="B183" s="28"/>
      <c r="C183" s="13" t="s">
        <v>12</v>
      </c>
      <c r="D183" s="11"/>
      <c r="E183" s="6">
        <f>(('[1]PURCHASE COST'!D182/18)+(('[1]PURCHASE COST'!D182/18)*3.87%))*D183</f>
        <v>0</v>
      </c>
      <c r="F183" s="32"/>
      <c r="G183" s="8"/>
      <c r="H183" s="14" t="s">
        <v>12</v>
      </c>
      <c r="I183" s="11"/>
      <c r="J183" s="8">
        <f t="shared" si="80"/>
        <v>0</v>
      </c>
      <c r="K183" s="6">
        <f>(('[1]PURCHASE COST'!D182/18)+(('[1]PURCHASE COST'!D182/18)*3.87%))*I183</f>
        <v>0</v>
      </c>
      <c r="L183" s="32"/>
      <c r="M183" s="12">
        <f t="shared" si="81"/>
        <v>0</v>
      </c>
    </row>
    <row r="184" spans="1:13" ht="15.75" customHeight="1" x14ac:dyDescent="0.2">
      <c r="A184" s="28"/>
      <c r="B184" s="28"/>
      <c r="C184" s="13" t="s">
        <v>13</v>
      </c>
      <c r="D184" s="11"/>
      <c r="E184" s="6">
        <f>(('[1]PURCHASE COST'!D183/24)+(('[1]PURCHASE COST'!D183/24)*3.87%))*D184</f>
        <v>0</v>
      </c>
      <c r="F184" s="32"/>
      <c r="G184" s="8"/>
      <c r="H184" s="14" t="s">
        <v>13</v>
      </c>
      <c r="I184" s="11"/>
      <c r="J184" s="8">
        <f t="shared" si="80"/>
        <v>0</v>
      </c>
      <c r="K184" s="6">
        <f>(('[1]PURCHASE COST'!D183/24)+(('[1]PURCHASE COST'!D183/24)*3.87%))*I184</f>
        <v>0</v>
      </c>
      <c r="L184" s="32"/>
      <c r="M184" s="12">
        <f t="shared" si="81"/>
        <v>0</v>
      </c>
    </row>
    <row r="185" spans="1:13" ht="15.75" customHeight="1" thickBot="1" x14ac:dyDescent="0.25">
      <c r="A185" s="29"/>
      <c r="B185" s="29"/>
      <c r="C185" s="13" t="s">
        <v>14</v>
      </c>
      <c r="D185" s="11"/>
      <c r="E185" s="6">
        <f>((('[1]PURCHASE COST'!D180/9)+(('[1]PURCHASE COST'!D180/9)*3.87%))/16.5)*D185</f>
        <v>0</v>
      </c>
      <c r="F185" s="33"/>
      <c r="G185" s="8"/>
      <c r="H185" s="14" t="s">
        <v>14</v>
      </c>
      <c r="I185" s="11"/>
      <c r="J185" s="8">
        <f t="shared" ref="J185" si="82">((((D181+G181)-I181)*16.5)+D185)-I185</f>
        <v>0</v>
      </c>
      <c r="K185" s="15">
        <f>((('[1]PURCHASE COST'!D180/9)+(('[1]PURCHASE COST'!D180/9)*3.87%))/16.5)*I185</f>
        <v>0</v>
      </c>
      <c r="L185" s="34"/>
      <c r="M185" s="12"/>
    </row>
    <row r="186" spans="1:13" ht="15.75" customHeight="1" thickTop="1" x14ac:dyDescent="0.2">
      <c r="A186" s="27">
        <v>41</v>
      </c>
      <c r="B186" s="30" t="s">
        <v>56</v>
      </c>
      <c r="C186" s="4" t="s">
        <v>10</v>
      </c>
      <c r="D186" s="11">
        <v>11</v>
      </c>
      <c r="E186" s="6">
        <f>(('[1]PURCHASE COST'!D185/9)+(('[1]PURCHASE COST'!D185/9)*3.87%))*D186</f>
        <v>0</v>
      </c>
      <c r="F186" s="45">
        <f>E186+E187+E188+E189+E190</f>
        <v>10605.265493333332</v>
      </c>
      <c r="G186" s="5"/>
      <c r="H186" s="7" t="s">
        <v>10</v>
      </c>
      <c r="I186" s="11">
        <v>10</v>
      </c>
      <c r="J186" s="8">
        <f t="shared" ref="J186:J189" si="83">(D186+G186)-I186</f>
        <v>1</v>
      </c>
      <c r="K186" s="9">
        <f>(('[1]PURCHASE COST'!D185/9)+(('[1]PURCHASE COST'!D185/9)*3.87%))*I186</f>
        <v>0</v>
      </c>
      <c r="L186" s="31">
        <f>K186+K187+K188+K189+K190</f>
        <v>10685.037653333333</v>
      </c>
      <c r="M186" s="10">
        <f t="shared" ref="M186:M189" si="84">D186-I186</f>
        <v>1</v>
      </c>
    </row>
    <row r="187" spans="1:13" ht="15.75" customHeight="1" x14ac:dyDescent="0.2">
      <c r="A187" s="28"/>
      <c r="B187" s="28"/>
      <c r="C187" s="4" t="s">
        <v>11</v>
      </c>
      <c r="D187" s="11">
        <v>0</v>
      </c>
      <c r="E187" s="6">
        <f>(('[1]PURCHASE COST'!D186/12)+(('[1]PURCHASE COST'!D186/12)*3.87%))*D187</f>
        <v>0</v>
      </c>
      <c r="F187" s="32"/>
      <c r="G187" s="8"/>
      <c r="H187" s="7" t="s">
        <v>11</v>
      </c>
      <c r="I187" s="11">
        <v>0</v>
      </c>
      <c r="J187" s="8">
        <v>0</v>
      </c>
      <c r="K187" s="6">
        <f>(('[1]PURCHASE COST'!D186/12)+(('[1]PURCHASE COST'!D186/12)*3.87%))*I187</f>
        <v>0</v>
      </c>
      <c r="L187" s="32"/>
      <c r="M187" s="12">
        <f t="shared" si="84"/>
        <v>0</v>
      </c>
    </row>
    <row r="188" spans="1:13" ht="15.75" customHeight="1" x14ac:dyDescent="0.2">
      <c r="A188" s="28"/>
      <c r="B188" s="28"/>
      <c r="C188" s="13" t="s">
        <v>12</v>
      </c>
      <c r="D188" s="11">
        <v>24</v>
      </c>
      <c r="E188" s="6">
        <f>(('[1]PURCHASE COST'!D187/18)+(('[1]PURCHASE COST'!D187/18)*3.87%))*D188</f>
        <v>10525.493333333332</v>
      </c>
      <c r="F188" s="32"/>
      <c r="G188" s="8"/>
      <c r="H188" s="14" t="s">
        <v>12</v>
      </c>
      <c r="I188" s="11">
        <v>24</v>
      </c>
      <c r="J188" s="8">
        <v>0</v>
      </c>
      <c r="K188" s="6">
        <f>(('[1]PURCHASE COST'!D187/18)+(('[1]PURCHASE COST'!D187/18)*3.87%))*I188</f>
        <v>10525.493333333332</v>
      </c>
      <c r="L188" s="32"/>
      <c r="M188" s="12">
        <f t="shared" si="84"/>
        <v>0</v>
      </c>
    </row>
    <row r="189" spans="1:13" ht="15.75" customHeight="1" x14ac:dyDescent="0.2">
      <c r="A189" s="28"/>
      <c r="B189" s="28"/>
      <c r="C189" s="13" t="s">
        <v>13</v>
      </c>
      <c r="D189" s="11"/>
      <c r="E189" s="6">
        <f>(('[1]PURCHASE COST'!D188/24)+(('[1]PURCHASE COST'!D188/24)*3.87%))*D189</f>
        <v>0</v>
      </c>
      <c r="F189" s="32"/>
      <c r="G189" s="8"/>
      <c r="H189" s="14" t="s">
        <v>13</v>
      </c>
      <c r="I189" s="11"/>
      <c r="J189" s="8">
        <f t="shared" si="83"/>
        <v>0</v>
      </c>
      <c r="K189" s="6">
        <f>(('[1]PURCHASE COST'!D188/24)+(('[1]PURCHASE COST'!D188/24)*3.87%))*I189</f>
        <v>0</v>
      </c>
      <c r="L189" s="32"/>
      <c r="M189" s="12">
        <f t="shared" si="84"/>
        <v>0</v>
      </c>
    </row>
    <row r="190" spans="1:13" ht="15.75" customHeight="1" thickBot="1" x14ac:dyDescent="0.25">
      <c r="A190" s="29"/>
      <c r="B190" s="29"/>
      <c r="C190" s="13" t="s">
        <v>14</v>
      </c>
      <c r="D190" s="11">
        <v>1.5</v>
      </c>
      <c r="E190" s="6">
        <f>((('[1]PURCHASE COST'!D186/12)+(('[1]PURCHASE COST'!D186/12)*3.87%))/12.5)*D190</f>
        <v>79.77216</v>
      </c>
      <c r="F190" s="33"/>
      <c r="G190" s="8"/>
      <c r="H190" s="14" t="s">
        <v>14</v>
      </c>
      <c r="I190" s="11">
        <v>3</v>
      </c>
      <c r="J190" s="8">
        <f>((((D186+G186)-I186)*16.5)+D190)-I190</f>
        <v>15</v>
      </c>
      <c r="K190" s="15">
        <f>((('[1]PURCHASE COST'!D186/12)+(('[1]PURCHASE COST'!D186/12)*3.87%))/12.5)*I190</f>
        <v>159.54432</v>
      </c>
      <c r="L190" s="34"/>
      <c r="M190" s="12"/>
    </row>
    <row r="191" spans="1:13" ht="15.75" customHeight="1" thickTop="1" x14ac:dyDescent="0.2">
      <c r="A191" s="27">
        <v>42</v>
      </c>
      <c r="B191" s="30" t="s">
        <v>57</v>
      </c>
      <c r="C191" s="4" t="s">
        <v>10</v>
      </c>
      <c r="D191" s="11">
        <v>51</v>
      </c>
      <c r="E191" s="6">
        <f>(('[1]PURCHASE COST'!D190/9)+(('[1]PURCHASE COST'!D190/9)*3.87%))*D191</f>
        <v>34256.325999999994</v>
      </c>
      <c r="F191" s="45">
        <f>E191+E192+E193+E194+E195</f>
        <v>42518.922202020192</v>
      </c>
      <c r="G191" s="5"/>
      <c r="H191" s="7" t="s">
        <v>10</v>
      </c>
      <c r="I191" s="11">
        <v>50</v>
      </c>
      <c r="J191" s="8"/>
      <c r="K191" s="9">
        <f>(('[1]PURCHASE COST'!D190/9)+(('[1]PURCHASE COST'!D190/9)*3.87%))*I191</f>
        <v>33584.633333333331</v>
      </c>
      <c r="L191" s="31">
        <f>K191+K192+K193+K194+K195</f>
        <v>41887.938181818179</v>
      </c>
      <c r="M191" s="10">
        <f t="shared" ref="M191:M199" si="85">D191-I191</f>
        <v>1</v>
      </c>
    </row>
    <row r="192" spans="1:13" ht="15.75" customHeight="1" x14ac:dyDescent="0.2">
      <c r="A192" s="28"/>
      <c r="B192" s="28"/>
      <c r="C192" s="4" t="s">
        <v>11</v>
      </c>
      <c r="D192" s="11"/>
      <c r="E192" s="6">
        <f>(('[1]PURCHASE COST'!D191/12)+(('[1]PURCHASE COST'!D191/12)*3.87%))*D192</f>
        <v>0</v>
      </c>
      <c r="F192" s="32"/>
      <c r="G192" s="8"/>
      <c r="H192" s="7" t="s">
        <v>11</v>
      </c>
      <c r="I192" s="11"/>
      <c r="J192" s="8">
        <f t="shared" ref="J192:J194" si="86">(D192+G192)-I192</f>
        <v>0</v>
      </c>
      <c r="K192" s="6">
        <f>(('[1]PURCHASE COST'!D191/12)+(('[1]PURCHASE COST'!D191/12)*3.87%))*I192</f>
        <v>0</v>
      </c>
      <c r="L192" s="32"/>
      <c r="M192" s="12">
        <f t="shared" si="85"/>
        <v>0</v>
      </c>
    </row>
    <row r="193" spans="1:13" ht="15.75" customHeight="1" x14ac:dyDescent="0.2">
      <c r="A193" s="28"/>
      <c r="B193" s="28"/>
      <c r="C193" s="13" t="s">
        <v>12</v>
      </c>
      <c r="D193" s="11">
        <v>22</v>
      </c>
      <c r="E193" s="6">
        <f>(('[1]PURCHASE COST'!D192/18)+(('[1]PURCHASE COST'!D192/18)*3.87%))*D193</f>
        <v>7997.9900000000007</v>
      </c>
      <c r="F193" s="32"/>
      <c r="G193" s="8"/>
      <c r="H193" s="14" t="s">
        <v>12</v>
      </c>
      <c r="I193" s="11">
        <v>22</v>
      </c>
      <c r="J193" s="8">
        <f t="shared" si="86"/>
        <v>0</v>
      </c>
      <c r="K193" s="6">
        <f>(('[1]PURCHASE COST'!D192/18)+(('[1]PURCHASE COST'!D192/18)*3.87%))*I193</f>
        <v>7997.9900000000007</v>
      </c>
      <c r="L193" s="32"/>
      <c r="M193" s="12">
        <f t="shared" si="85"/>
        <v>0</v>
      </c>
    </row>
    <row r="194" spans="1:13" ht="15.75" customHeight="1" x14ac:dyDescent="0.2">
      <c r="A194" s="28"/>
      <c r="B194" s="28"/>
      <c r="C194" s="13" t="s">
        <v>13</v>
      </c>
      <c r="D194" s="11"/>
      <c r="E194" s="6">
        <f>(('[1]PURCHASE COST'!D193/24)+(('[1]PURCHASE COST'!D193/24)*3.87%))*D194</f>
        <v>0</v>
      </c>
      <c r="F194" s="32"/>
      <c r="G194" s="8"/>
      <c r="H194" s="14" t="s">
        <v>13</v>
      </c>
      <c r="I194" s="11"/>
      <c r="J194" s="8">
        <f t="shared" si="86"/>
        <v>0</v>
      </c>
      <c r="K194" s="6">
        <f>(('[1]PURCHASE COST'!D193/24)+(('[1]PURCHASE COST'!D193/24)*3.87%))*I194</f>
        <v>0</v>
      </c>
      <c r="L194" s="32"/>
      <c r="M194" s="12">
        <f t="shared" si="85"/>
        <v>0</v>
      </c>
    </row>
    <row r="195" spans="1:13" ht="15.75" customHeight="1" thickBot="1" x14ac:dyDescent="0.25">
      <c r="A195" s="29"/>
      <c r="B195" s="29"/>
      <c r="C195" s="13" t="s">
        <v>14</v>
      </c>
      <c r="D195" s="11">
        <v>6.5</v>
      </c>
      <c r="E195" s="6">
        <f>((('[1]PURCHASE COST'!D190/9)+(('[1]PURCHASE COST'!D190/9)*3.87%))/16.5)*D195</f>
        <v>264.60620202020198</v>
      </c>
      <c r="F195" s="33"/>
      <c r="G195" s="8"/>
      <c r="H195" s="14" t="s">
        <v>14</v>
      </c>
      <c r="I195" s="11">
        <v>7.5</v>
      </c>
      <c r="J195" s="8">
        <f t="shared" ref="J195" si="87">((((D191+G191)-I191)*16.5)+D195)-I195</f>
        <v>15.5</v>
      </c>
      <c r="K195" s="15">
        <f>((('[1]PURCHASE COST'!D190/9)+(('[1]PURCHASE COST'!D190/9)*3.87%))/16.5)*I195</f>
        <v>305.31484848484843</v>
      </c>
      <c r="L195" s="34"/>
      <c r="M195" s="12"/>
    </row>
    <row r="196" spans="1:13" ht="15.75" customHeight="1" thickTop="1" x14ac:dyDescent="0.2">
      <c r="A196" s="27">
        <v>43</v>
      </c>
      <c r="B196" s="30" t="s">
        <v>58</v>
      </c>
      <c r="C196" s="4" t="s">
        <v>10</v>
      </c>
      <c r="D196" s="11"/>
      <c r="E196" s="6">
        <f>(('[1]PURCHASE COST'!D195/9)+(('[1]PURCHASE COST'!D195/9)*3.87%))*D196</f>
        <v>0</v>
      </c>
      <c r="F196" s="45">
        <f>E196+E197+E198+E199+E200</f>
        <v>0</v>
      </c>
      <c r="G196" s="5"/>
      <c r="H196" s="7" t="s">
        <v>10</v>
      </c>
      <c r="I196" s="11"/>
      <c r="J196" s="8"/>
      <c r="K196" s="9">
        <f>(('[1]PURCHASE COST'!D195/9)+(('[1]PURCHASE COST'!D195/9)*3.87%))*I196</f>
        <v>0</v>
      </c>
      <c r="L196" s="31">
        <f>K196+K197+K198+K199+K200</f>
        <v>0</v>
      </c>
      <c r="M196" s="10">
        <f t="shared" si="85"/>
        <v>0</v>
      </c>
    </row>
    <row r="197" spans="1:13" ht="15.75" customHeight="1" x14ac:dyDescent="0.2">
      <c r="A197" s="28"/>
      <c r="B197" s="28"/>
      <c r="C197" s="4" t="s">
        <v>11</v>
      </c>
      <c r="D197" s="11"/>
      <c r="E197" s="6">
        <f>(('[1]PURCHASE COST'!D196/12)+(('[1]PURCHASE COST'!D196/12)*3.87%))*D197</f>
        <v>0</v>
      </c>
      <c r="F197" s="32"/>
      <c r="G197" s="8"/>
      <c r="H197" s="7" t="s">
        <v>11</v>
      </c>
      <c r="I197" s="11"/>
      <c r="J197" s="8">
        <f t="shared" ref="J197:J199" si="88">(D197+G197)-I197</f>
        <v>0</v>
      </c>
      <c r="K197" s="6">
        <f>(('[1]PURCHASE COST'!D196/12)+(('[1]PURCHASE COST'!D196/12)*3.87%))*I197</f>
        <v>0</v>
      </c>
      <c r="L197" s="32"/>
      <c r="M197" s="12">
        <f t="shared" si="85"/>
        <v>0</v>
      </c>
    </row>
    <row r="198" spans="1:13" ht="15.75" customHeight="1" x14ac:dyDescent="0.2">
      <c r="A198" s="28"/>
      <c r="B198" s="28"/>
      <c r="C198" s="13" t="s">
        <v>12</v>
      </c>
      <c r="D198" s="11"/>
      <c r="E198" s="6">
        <f>(('[1]PURCHASE COST'!D197/18)+(('[1]PURCHASE COST'!D197/18)*3.87%))*D198</f>
        <v>0</v>
      </c>
      <c r="F198" s="32"/>
      <c r="G198" s="8"/>
      <c r="H198" s="14" t="s">
        <v>12</v>
      </c>
      <c r="I198" s="11"/>
      <c r="J198" s="8">
        <f t="shared" si="88"/>
        <v>0</v>
      </c>
      <c r="K198" s="6">
        <f>(('[1]PURCHASE COST'!D197/18)+(('[1]PURCHASE COST'!D197/18)*3.87%))*I198</f>
        <v>0</v>
      </c>
      <c r="L198" s="32"/>
      <c r="M198" s="12">
        <f t="shared" si="85"/>
        <v>0</v>
      </c>
    </row>
    <row r="199" spans="1:13" ht="15.75" customHeight="1" x14ac:dyDescent="0.2">
      <c r="A199" s="28"/>
      <c r="B199" s="28"/>
      <c r="C199" s="13" t="s">
        <v>13</v>
      </c>
      <c r="D199" s="11"/>
      <c r="E199" s="6">
        <f>(('[1]PURCHASE COST'!D198/24)+(('[1]PURCHASE COST'!D198/24)*3.87%))*D199</f>
        <v>0</v>
      </c>
      <c r="F199" s="32"/>
      <c r="G199" s="8"/>
      <c r="H199" s="14" t="s">
        <v>13</v>
      </c>
      <c r="I199" s="11"/>
      <c r="J199" s="8">
        <f t="shared" si="88"/>
        <v>0</v>
      </c>
      <c r="K199" s="6">
        <f>(('[1]PURCHASE COST'!D198/24)+(('[1]PURCHASE COST'!D198/24)*3.87%))*I199</f>
        <v>0</v>
      </c>
      <c r="L199" s="32"/>
      <c r="M199" s="12">
        <f t="shared" si="85"/>
        <v>0</v>
      </c>
    </row>
    <row r="200" spans="1:13" ht="15.75" customHeight="1" thickBot="1" x14ac:dyDescent="0.25">
      <c r="A200" s="29"/>
      <c r="B200" s="29"/>
      <c r="C200" s="13" t="s">
        <v>14</v>
      </c>
      <c r="D200" s="11"/>
      <c r="E200" s="6">
        <f>((('[1]PURCHASE COST'!D195/9)+(('[1]PURCHASE COST'!D195/9)*3.87%))/16.5)*D200</f>
        <v>0</v>
      </c>
      <c r="F200" s="33"/>
      <c r="G200" s="8"/>
      <c r="H200" s="14" t="s">
        <v>14</v>
      </c>
      <c r="I200" s="11"/>
      <c r="J200" s="8">
        <f t="shared" ref="J200" si="89">((((D196+G196)-I196)*16.5)+D200)-I200</f>
        <v>0</v>
      </c>
      <c r="K200" s="15">
        <f>((('[1]PURCHASE COST'!D195/9)+(('[1]PURCHASE COST'!D195/9)*3.87%))/16.5)*I200</f>
        <v>0</v>
      </c>
      <c r="L200" s="34"/>
      <c r="M200" s="12"/>
    </row>
    <row r="201" spans="1:13" ht="15.75" customHeight="1" thickTop="1" x14ac:dyDescent="0.2">
      <c r="A201" s="27">
        <v>44</v>
      </c>
      <c r="B201" s="30" t="s">
        <v>59</v>
      </c>
      <c r="C201" s="4" t="s">
        <v>10</v>
      </c>
      <c r="D201" s="11"/>
      <c r="E201" s="6">
        <f>(('[1]PURCHASE COST'!D200/9)+(('[1]PURCHASE COST'!D200/9)*3.87%))*D201</f>
        <v>0</v>
      </c>
      <c r="F201" s="45">
        <f>E201+E202+E203+E204+E205</f>
        <v>0</v>
      </c>
      <c r="G201" s="5"/>
      <c r="H201" s="7" t="s">
        <v>10</v>
      </c>
      <c r="I201" s="11"/>
      <c r="J201" s="8">
        <f t="shared" ref="J201:J204" si="90">(D201+G201)-I201</f>
        <v>0</v>
      </c>
      <c r="K201" s="9">
        <f>(('[1]PURCHASE COST'!D200/9)+(('[1]PURCHASE COST'!D200/9)*3.87%))*I201</f>
        <v>0</v>
      </c>
      <c r="L201" s="31">
        <f>K201+K202+K203+K204+K205</f>
        <v>0</v>
      </c>
      <c r="M201" s="10">
        <f t="shared" ref="M201:M204" si="91">D201-I201</f>
        <v>0</v>
      </c>
    </row>
    <row r="202" spans="1:13" ht="15.75" customHeight="1" x14ac:dyDescent="0.2">
      <c r="A202" s="28"/>
      <c r="B202" s="28"/>
      <c r="C202" s="4" t="s">
        <v>11</v>
      </c>
      <c r="D202" s="11"/>
      <c r="E202" s="6">
        <f>(('[1]PURCHASE COST'!D201/12)+(('[1]PURCHASE COST'!D201/12)*3.87%))*D202</f>
        <v>0</v>
      </c>
      <c r="F202" s="32"/>
      <c r="G202" s="8"/>
      <c r="H202" s="7" t="s">
        <v>11</v>
      </c>
      <c r="I202" s="11"/>
      <c r="J202" s="8">
        <f t="shared" si="90"/>
        <v>0</v>
      </c>
      <c r="K202" s="6">
        <f>(('[1]PURCHASE COST'!D201/12)+(('[1]PURCHASE COST'!D201/12)*3.87%))*I202</f>
        <v>0</v>
      </c>
      <c r="L202" s="32"/>
      <c r="M202" s="12">
        <f t="shared" si="91"/>
        <v>0</v>
      </c>
    </row>
    <row r="203" spans="1:13" ht="15.75" customHeight="1" x14ac:dyDescent="0.2">
      <c r="A203" s="28"/>
      <c r="B203" s="28"/>
      <c r="C203" s="13" t="s">
        <v>12</v>
      </c>
      <c r="D203" s="11"/>
      <c r="E203" s="6">
        <f>(('[1]PURCHASE COST'!D202/18)+(('[1]PURCHASE COST'!D202/18)*3.87%))*D203</f>
        <v>0</v>
      </c>
      <c r="F203" s="32"/>
      <c r="G203" s="8"/>
      <c r="H203" s="14" t="s">
        <v>12</v>
      </c>
      <c r="I203" s="11"/>
      <c r="J203" s="8">
        <f t="shared" si="90"/>
        <v>0</v>
      </c>
      <c r="K203" s="6">
        <f>(('[1]PURCHASE COST'!D202/18)+(('[1]PURCHASE COST'!D202/18)*3.87%))*I203</f>
        <v>0</v>
      </c>
      <c r="L203" s="32"/>
      <c r="M203" s="12">
        <f t="shared" si="91"/>
        <v>0</v>
      </c>
    </row>
    <row r="204" spans="1:13" ht="15.75" customHeight="1" x14ac:dyDescent="0.2">
      <c r="A204" s="28"/>
      <c r="B204" s="28"/>
      <c r="C204" s="13" t="s">
        <v>13</v>
      </c>
      <c r="D204" s="11"/>
      <c r="E204" s="6">
        <f>(('[1]PURCHASE COST'!D203/24)+(('[1]PURCHASE COST'!D203/24)*3.87%))*D204</f>
        <v>0</v>
      </c>
      <c r="F204" s="32"/>
      <c r="G204" s="8"/>
      <c r="H204" s="14" t="s">
        <v>13</v>
      </c>
      <c r="I204" s="11"/>
      <c r="J204" s="8">
        <f t="shared" si="90"/>
        <v>0</v>
      </c>
      <c r="K204" s="6">
        <f>(('[1]PURCHASE COST'!D203/24)+(('[1]PURCHASE COST'!D203/24)*3.87%))*I204</f>
        <v>0</v>
      </c>
      <c r="L204" s="32"/>
      <c r="M204" s="12">
        <f t="shared" si="91"/>
        <v>0</v>
      </c>
    </row>
    <row r="205" spans="1:13" ht="15.75" customHeight="1" thickBot="1" x14ac:dyDescent="0.25">
      <c r="A205" s="29"/>
      <c r="B205" s="29"/>
      <c r="C205" s="13" t="s">
        <v>14</v>
      </c>
      <c r="D205" s="11"/>
      <c r="E205" s="6">
        <f>((('[1]PURCHASE COST'!D201/12)+(('[1]PURCHASE COST'!D201/12)*3.87%))/12.5)*D205</f>
        <v>0</v>
      </c>
      <c r="F205" s="33"/>
      <c r="G205" s="8"/>
      <c r="H205" s="14" t="s">
        <v>14</v>
      </c>
      <c r="I205" s="11"/>
      <c r="J205" s="8">
        <f t="shared" ref="J205" si="92">((((D201+G201)-I201)*16.5)+D205)-I205</f>
        <v>0</v>
      </c>
      <c r="K205" s="15">
        <f>((('[1]PURCHASE COST'!D201/12)+(('[1]PURCHASE COST'!D201/12)*3.87%))/12.5)*I205</f>
        <v>0</v>
      </c>
      <c r="L205" s="34"/>
      <c r="M205" s="12"/>
    </row>
    <row r="206" spans="1:13" ht="15.75" customHeight="1" thickTop="1" x14ac:dyDescent="0.2">
      <c r="A206" s="27">
        <v>45</v>
      </c>
      <c r="B206" s="30" t="s">
        <v>60</v>
      </c>
      <c r="C206" s="4" t="s">
        <v>10</v>
      </c>
      <c r="D206" s="11"/>
      <c r="E206" s="6">
        <f>(('[1]PURCHASE COST'!D205/9)+(('[1]PURCHASE COST'!D205/9)*3.87%))*D206</f>
        <v>0</v>
      </c>
      <c r="F206" s="45">
        <f>E206+E207+E208+E209+E210</f>
        <v>16738.108417508422</v>
      </c>
      <c r="G206" s="5"/>
      <c r="H206" s="7" t="s">
        <v>10</v>
      </c>
      <c r="I206" s="11"/>
      <c r="J206" s="8"/>
      <c r="K206" s="9">
        <f>(('[1]PURCHASE COST'!D205/9)+(('[1]PURCHASE COST'!D205/9)*3.87%))*I206</f>
        <v>0</v>
      </c>
      <c r="L206" s="31">
        <f>K206+K207+K208+K209+K210</f>
        <v>16738.108417508422</v>
      </c>
      <c r="M206" s="10">
        <f t="shared" ref="M206:M209" si="93">D206-I206</f>
        <v>0</v>
      </c>
    </row>
    <row r="207" spans="1:13" ht="15.75" customHeight="1" x14ac:dyDescent="0.2">
      <c r="A207" s="28"/>
      <c r="B207" s="28"/>
      <c r="C207" s="4" t="s">
        <v>11</v>
      </c>
      <c r="D207" s="11">
        <v>24</v>
      </c>
      <c r="E207" s="6">
        <f>(('[1]PURCHASE COST'!D206/12)+(('[1]PURCHASE COST'!D206/12)*3.87%))*D207</f>
        <v>16536.104000000003</v>
      </c>
      <c r="F207" s="32"/>
      <c r="G207" s="8"/>
      <c r="H207" s="7" t="s">
        <v>11</v>
      </c>
      <c r="I207" s="11">
        <v>24</v>
      </c>
      <c r="J207" s="8">
        <f t="shared" ref="J207:J209" si="94">(D207+G207)-I207</f>
        <v>0</v>
      </c>
      <c r="K207" s="6">
        <f>(('[1]PURCHASE COST'!D206/12)+(('[1]PURCHASE COST'!D206/12)*3.87%))*I207</f>
        <v>16536.104000000003</v>
      </c>
      <c r="L207" s="32"/>
      <c r="M207" s="12">
        <f t="shared" si="93"/>
        <v>0</v>
      </c>
    </row>
    <row r="208" spans="1:13" ht="15.75" customHeight="1" x14ac:dyDescent="0.2">
      <c r="A208" s="28"/>
      <c r="B208" s="28"/>
      <c r="C208" s="13" t="s">
        <v>12</v>
      </c>
      <c r="D208" s="11"/>
      <c r="E208" s="6">
        <f>(('[1]PURCHASE COST'!D207/18)+(('[1]PURCHASE COST'!D207/18)*3.87%))*D208</f>
        <v>0</v>
      </c>
      <c r="F208" s="32"/>
      <c r="G208" s="8"/>
      <c r="H208" s="14" t="s">
        <v>12</v>
      </c>
      <c r="I208" s="11"/>
      <c r="J208" s="8">
        <f t="shared" si="94"/>
        <v>0</v>
      </c>
      <c r="K208" s="6">
        <f>(('[1]PURCHASE COST'!D207/18)+(('[1]PURCHASE COST'!D207/18)*3.87%))*I208</f>
        <v>0</v>
      </c>
      <c r="L208" s="32"/>
      <c r="M208" s="12">
        <f t="shared" si="93"/>
        <v>0</v>
      </c>
    </row>
    <row r="209" spans="1:13" ht="15.75" customHeight="1" x14ac:dyDescent="0.2">
      <c r="A209" s="28"/>
      <c r="B209" s="28"/>
      <c r="C209" s="13" t="s">
        <v>13</v>
      </c>
      <c r="D209" s="11"/>
      <c r="E209" s="6">
        <f>(('[1]PURCHASE COST'!D208/24)+(('[1]PURCHASE COST'!D208/24)*3.87%))*D209</f>
        <v>0</v>
      </c>
      <c r="F209" s="32"/>
      <c r="G209" s="8"/>
      <c r="H209" s="14" t="s">
        <v>13</v>
      </c>
      <c r="I209" s="11"/>
      <c r="J209" s="8">
        <f t="shared" si="94"/>
        <v>0</v>
      </c>
      <c r="K209" s="6">
        <f>(('[1]PURCHASE COST'!D208/24)+(('[1]PURCHASE COST'!D208/24)*3.87%))*I209</f>
        <v>0</v>
      </c>
      <c r="L209" s="32"/>
      <c r="M209" s="12">
        <f t="shared" si="93"/>
        <v>0</v>
      </c>
    </row>
    <row r="210" spans="1:13" ht="15.75" customHeight="1" thickBot="1" x14ac:dyDescent="0.25">
      <c r="A210" s="29"/>
      <c r="B210" s="29"/>
      <c r="C210" s="13" t="s">
        <v>14</v>
      </c>
      <c r="D210" s="11">
        <v>4</v>
      </c>
      <c r="E210" s="6">
        <f>((('[1]PURCHASE COST'!D205/9)+(('[1]PURCHASE COST'!D205/9)*3.87%))/16.5)*D210</f>
        <v>202.0044175084175</v>
      </c>
      <c r="F210" s="33"/>
      <c r="G210" s="8"/>
      <c r="H210" s="14" t="s">
        <v>14</v>
      </c>
      <c r="I210" s="11">
        <v>4</v>
      </c>
      <c r="J210" s="8">
        <f t="shared" ref="J210" si="95">((((D206+G206)-I206)*16.5)+D210)-I210</f>
        <v>0</v>
      </c>
      <c r="K210" s="15">
        <f>((('[1]PURCHASE COST'!D205/9)+(('[1]PURCHASE COST'!D205/9)*3.87%))/16.5)*I210</f>
        <v>202.0044175084175</v>
      </c>
      <c r="L210" s="34"/>
      <c r="M210" s="12"/>
    </row>
    <row r="211" spans="1:13" ht="15.75" customHeight="1" thickTop="1" x14ac:dyDescent="0.2">
      <c r="A211" s="27">
        <v>46</v>
      </c>
      <c r="B211" s="30" t="s">
        <v>61</v>
      </c>
      <c r="C211" s="4" t="s">
        <v>10</v>
      </c>
      <c r="D211" s="11">
        <v>10</v>
      </c>
      <c r="E211" s="6">
        <f>(('[1]PURCHASE COST'!D210/9)+(('[1]PURCHASE COST'!D210/9)*3.87%))*D211</f>
        <v>8909.7377777777783</v>
      </c>
      <c r="F211" s="45">
        <f>E211+E212+E213+E214+E215</f>
        <v>9287.7266531986534</v>
      </c>
      <c r="G211" s="5"/>
      <c r="H211" s="7" t="s">
        <v>10</v>
      </c>
      <c r="I211" s="11">
        <v>10</v>
      </c>
      <c r="J211" s="8"/>
      <c r="K211" s="9">
        <f>(('[1]PURCHASE COST'!D210/9)+(('[1]PURCHASE COST'!D210/9)*3.87%))*I211</f>
        <v>8909.7377777777783</v>
      </c>
      <c r="L211" s="31">
        <f>K211+K212+K213+K214+K215</f>
        <v>9287.7266531986534</v>
      </c>
      <c r="M211" s="10">
        <f t="shared" ref="M211:M214" si="96">D211-I211</f>
        <v>0</v>
      </c>
    </row>
    <row r="212" spans="1:13" ht="15.75" customHeight="1" x14ac:dyDescent="0.2">
      <c r="A212" s="28"/>
      <c r="B212" s="28"/>
      <c r="C212" s="4" t="s">
        <v>11</v>
      </c>
      <c r="D212" s="11"/>
      <c r="E212" s="6">
        <f>(('[1]PURCHASE COST'!D211/12)+(('[1]PURCHASE COST'!D211/12)*3.87%))*D212</f>
        <v>0</v>
      </c>
      <c r="F212" s="32"/>
      <c r="G212" s="8"/>
      <c r="H212" s="7" t="s">
        <v>11</v>
      </c>
      <c r="I212" s="11"/>
      <c r="J212" s="8">
        <f t="shared" ref="J212:J214" si="97">(D212+G212)-I212</f>
        <v>0</v>
      </c>
      <c r="K212" s="6">
        <f>(('[1]PURCHASE COST'!D211/12)+(('[1]PURCHASE COST'!D211/12)*3.87%))*I212</f>
        <v>0</v>
      </c>
      <c r="L212" s="32"/>
      <c r="M212" s="12">
        <f t="shared" si="96"/>
        <v>0</v>
      </c>
    </row>
    <row r="213" spans="1:13" ht="15.75" customHeight="1" x14ac:dyDescent="0.2">
      <c r="A213" s="28"/>
      <c r="B213" s="28"/>
      <c r="C213" s="13" t="s">
        <v>12</v>
      </c>
      <c r="D213" s="11"/>
      <c r="E213" s="6">
        <f>(('[1]PURCHASE COST'!D212/18)+(('[1]PURCHASE COST'!D212/18)*3.87%))*D213</f>
        <v>0</v>
      </c>
      <c r="F213" s="32"/>
      <c r="G213" s="8"/>
      <c r="H213" s="14" t="s">
        <v>12</v>
      </c>
      <c r="I213" s="11"/>
      <c r="J213" s="8">
        <f t="shared" si="97"/>
        <v>0</v>
      </c>
      <c r="K213" s="6">
        <f>(('[1]PURCHASE COST'!D212/18)+(('[1]PURCHASE COST'!D212/18)*3.87%))*I213</f>
        <v>0</v>
      </c>
      <c r="L213" s="32"/>
      <c r="M213" s="12">
        <f t="shared" si="96"/>
        <v>0</v>
      </c>
    </row>
    <row r="214" spans="1:13" ht="15.75" customHeight="1" x14ac:dyDescent="0.2">
      <c r="A214" s="28"/>
      <c r="B214" s="28"/>
      <c r="C214" s="13" t="s">
        <v>13</v>
      </c>
      <c r="D214" s="11"/>
      <c r="E214" s="6">
        <f>(('[1]PURCHASE COST'!D213/24)+(('[1]PURCHASE COST'!D213/24)*3.87%))*D214</f>
        <v>0</v>
      </c>
      <c r="F214" s="32"/>
      <c r="G214" s="8"/>
      <c r="H214" s="14" t="s">
        <v>13</v>
      </c>
      <c r="I214" s="11"/>
      <c r="J214" s="8">
        <f t="shared" si="97"/>
        <v>0</v>
      </c>
      <c r="K214" s="6">
        <f>(('[1]PURCHASE COST'!D213/24)+(('[1]PURCHASE COST'!D213/24)*3.87%))*I214</f>
        <v>0</v>
      </c>
      <c r="L214" s="32"/>
      <c r="M214" s="12">
        <f t="shared" si="96"/>
        <v>0</v>
      </c>
    </row>
    <row r="215" spans="1:13" ht="15.75" customHeight="1" thickBot="1" x14ac:dyDescent="0.25">
      <c r="A215" s="29"/>
      <c r="B215" s="29"/>
      <c r="C215" s="13" t="s">
        <v>14</v>
      </c>
      <c r="D215" s="11">
        <v>7</v>
      </c>
      <c r="E215" s="6">
        <f>((('[1]PURCHASE COST'!D210/9)+(('[1]PURCHASE COST'!D210/9)*3.87%))/16.5)*D215</f>
        <v>377.98887542087544</v>
      </c>
      <c r="F215" s="33"/>
      <c r="G215" s="8"/>
      <c r="H215" s="14" t="s">
        <v>14</v>
      </c>
      <c r="I215" s="11">
        <v>7</v>
      </c>
      <c r="J215" s="8">
        <f t="shared" ref="J215" si="98">((((D211+G211)-I211)*16.5)+D215)-I215</f>
        <v>0</v>
      </c>
      <c r="K215" s="15">
        <f>((('[1]PURCHASE COST'!D210/9)+(('[1]PURCHASE COST'!D210/9)*3.87%))/16.5)*I215</f>
        <v>377.98887542087544</v>
      </c>
      <c r="L215" s="34"/>
      <c r="M215" s="12"/>
    </row>
    <row r="216" spans="1:13" ht="15.75" customHeight="1" thickTop="1" x14ac:dyDescent="0.2">
      <c r="A216" s="27">
        <v>47</v>
      </c>
      <c r="B216" s="30" t="s">
        <v>62</v>
      </c>
      <c r="C216" s="4" t="s">
        <v>10</v>
      </c>
      <c r="D216" s="11"/>
      <c r="E216" s="6">
        <f>(('[1]PURCHASE COST'!D215/9)+(('[1]PURCHASE COST'!D215/9)*3.87%))*D216</f>
        <v>0</v>
      </c>
      <c r="F216" s="45">
        <f>E216+E217+E218+E219+E220</f>
        <v>0</v>
      </c>
      <c r="G216" s="5"/>
      <c r="H216" s="7" t="s">
        <v>10</v>
      </c>
      <c r="I216" s="11"/>
      <c r="J216" s="8">
        <f t="shared" ref="J216:J219" si="99">(D216+G216)-I216</f>
        <v>0</v>
      </c>
      <c r="K216" s="9">
        <f>(('[1]PURCHASE COST'!D215/9)+(('[1]PURCHASE COST'!D215/9)*3.87%))*I216</f>
        <v>0</v>
      </c>
      <c r="L216" s="31">
        <f>K216+K217+K218+K219+K220</f>
        <v>0</v>
      </c>
      <c r="M216" s="10">
        <f t="shared" ref="M216:M219" si="100">D216-I216</f>
        <v>0</v>
      </c>
    </row>
    <row r="217" spans="1:13" ht="15.75" customHeight="1" x14ac:dyDescent="0.2">
      <c r="A217" s="28"/>
      <c r="B217" s="28"/>
      <c r="C217" s="4" t="s">
        <v>11</v>
      </c>
      <c r="D217" s="11"/>
      <c r="E217" s="6">
        <f>(('[1]PURCHASE COST'!D216/12)+(('[1]PURCHASE COST'!D216/12)*3.87%))*D217</f>
        <v>0</v>
      </c>
      <c r="F217" s="32"/>
      <c r="G217" s="8"/>
      <c r="H217" s="7" t="s">
        <v>11</v>
      </c>
      <c r="I217" s="11"/>
      <c r="J217" s="8">
        <f t="shared" si="99"/>
        <v>0</v>
      </c>
      <c r="K217" s="6">
        <f>(('[1]PURCHASE COST'!D216/12)+(('[1]PURCHASE COST'!D216/12)*3.87%))*I217</f>
        <v>0</v>
      </c>
      <c r="L217" s="32"/>
      <c r="M217" s="12">
        <f t="shared" si="100"/>
        <v>0</v>
      </c>
    </row>
    <row r="218" spans="1:13" ht="15.75" customHeight="1" x14ac:dyDescent="0.2">
      <c r="A218" s="28"/>
      <c r="B218" s="28"/>
      <c r="C218" s="13" t="s">
        <v>12</v>
      </c>
      <c r="D218" s="11"/>
      <c r="E218" s="6">
        <f>(('[1]PURCHASE COST'!D217/18)+(('[1]PURCHASE COST'!D217/18)*3.87%))*D218</f>
        <v>0</v>
      </c>
      <c r="F218" s="32"/>
      <c r="G218" s="8"/>
      <c r="H218" s="14" t="s">
        <v>12</v>
      </c>
      <c r="I218" s="11"/>
      <c r="J218" s="8">
        <f t="shared" si="99"/>
        <v>0</v>
      </c>
      <c r="K218" s="6">
        <f>(('[1]PURCHASE COST'!D217/18)+(('[1]PURCHASE COST'!D217/18)*3.87%))*I218</f>
        <v>0</v>
      </c>
      <c r="L218" s="32"/>
      <c r="M218" s="12">
        <f t="shared" si="100"/>
        <v>0</v>
      </c>
    </row>
    <row r="219" spans="1:13" ht="15.75" customHeight="1" x14ac:dyDescent="0.2">
      <c r="A219" s="28"/>
      <c r="B219" s="28"/>
      <c r="C219" s="13" t="s">
        <v>13</v>
      </c>
      <c r="D219" s="11"/>
      <c r="E219" s="6">
        <f>(('[1]PURCHASE COST'!D218/24)+(('[1]PURCHASE COST'!D218/24)*3.87%))*D219</f>
        <v>0</v>
      </c>
      <c r="F219" s="32"/>
      <c r="G219" s="8"/>
      <c r="H219" s="14" t="s">
        <v>13</v>
      </c>
      <c r="I219" s="11"/>
      <c r="J219" s="8">
        <f t="shared" si="99"/>
        <v>0</v>
      </c>
      <c r="K219" s="6">
        <f>(('[1]PURCHASE COST'!D218/24)+(('[1]PURCHASE COST'!D218/24)*3.87%))*I219</f>
        <v>0</v>
      </c>
      <c r="L219" s="32"/>
      <c r="M219" s="12">
        <f t="shared" si="100"/>
        <v>0</v>
      </c>
    </row>
    <row r="220" spans="1:13" ht="15.75" customHeight="1" thickBot="1" x14ac:dyDescent="0.25">
      <c r="A220" s="29"/>
      <c r="B220" s="29"/>
      <c r="C220" s="13" t="s">
        <v>14</v>
      </c>
      <c r="D220" s="11"/>
      <c r="E220" s="6">
        <f>((('[1]PURCHASE COST'!D216/12)+(('[1]PURCHASE COST'!D216/12)*3.87%))/12.5)*D220</f>
        <v>0</v>
      </c>
      <c r="F220" s="33"/>
      <c r="G220" s="8"/>
      <c r="H220" s="14" t="s">
        <v>14</v>
      </c>
      <c r="I220" s="11"/>
      <c r="J220" s="8">
        <f t="shared" ref="J220" si="101">((((D216+G216)-I216)*16.5)+D220)-I220</f>
        <v>0</v>
      </c>
      <c r="K220" s="15">
        <f>((('[1]PURCHASE COST'!D216/12)+(('[1]PURCHASE COST'!D216/12)*3.87%))/12.5)*I220</f>
        <v>0</v>
      </c>
      <c r="L220" s="34"/>
      <c r="M220" s="12"/>
    </row>
    <row r="221" spans="1:13" ht="15.75" customHeight="1" thickTop="1" x14ac:dyDescent="0.2">
      <c r="A221" s="27">
        <v>48</v>
      </c>
      <c r="B221" s="30" t="s">
        <v>63</v>
      </c>
      <c r="C221" s="4" t="s">
        <v>10</v>
      </c>
      <c r="D221" s="11"/>
      <c r="E221" s="6">
        <f>(('[1]PURCHASE COST'!D220/9)+(('[1]PURCHASE COST'!D220/9)*3.87%))*D221</f>
        <v>0</v>
      </c>
      <c r="F221" s="45">
        <f>E221+E222+E223+E224+E225</f>
        <v>0</v>
      </c>
      <c r="G221" s="5"/>
      <c r="H221" s="7" t="s">
        <v>10</v>
      </c>
      <c r="I221" s="11"/>
      <c r="J221" s="8">
        <f t="shared" ref="J221:J224" si="102">(D221+G221)-I221</f>
        <v>0</v>
      </c>
      <c r="K221" s="9">
        <f>(('[1]PURCHASE COST'!D220/9)+(('[1]PURCHASE COST'!D220/9)*3.87%))*I221</f>
        <v>0</v>
      </c>
      <c r="L221" s="31">
        <f>K221+K222+K223+K224+K225</f>
        <v>0</v>
      </c>
      <c r="M221" s="10">
        <f t="shared" ref="M221:M224" si="103">D221-I221</f>
        <v>0</v>
      </c>
    </row>
    <row r="222" spans="1:13" ht="15.75" customHeight="1" x14ac:dyDescent="0.2">
      <c r="A222" s="28"/>
      <c r="B222" s="28"/>
      <c r="C222" s="4" t="s">
        <v>11</v>
      </c>
      <c r="D222" s="11"/>
      <c r="E222" s="6">
        <f>(('[1]PURCHASE COST'!D221/12)+(('[1]PURCHASE COST'!D221/12)*3.87%))*D222</f>
        <v>0</v>
      </c>
      <c r="F222" s="32"/>
      <c r="G222" s="8"/>
      <c r="H222" s="7" t="s">
        <v>11</v>
      </c>
      <c r="I222" s="11"/>
      <c r="J222" s="8">
        <f t="shared" si="102"/>
        <v>0</v>
      </c>
      <c r="K222" s="6">
        <f>(('[1]PURCHASE COST'!D221/12)+(('[1]PURCHASE COST'!D221/12)*3.87%))*I222</f>
        <v>0</v>
      </c>
      <c r="L222" s="32"/>
      <c r="M222" s="12">
        <f t="shared" si="103"/>
        <v>0</v>
      </c>
    </row>
    <row r="223" spans="1:13" ht="15.75" customHeight="1" x14ac:dyDescent="0.2">
      <c r="A223" s="28"/>
      <c r="B223" s="28"/>
      <c r="C223" s="13" t="s">
        <v>12</v>
      </c>
      <c r="D223" s="11"/>
      <c r="E223" s="6">
        <f>(('[1]PURCHASE COST'!D222/18)+(('[1]PURCHASE COST'!D222/18)*3.87%))*D223</f>
        <v>0</v>
      </c>
      <c r="F223" s="32"/>
      <c r="G223" s="8"/>
      <c r="H223" s="14" t="s">
        <v>12</v>
      </c>
      <c r="I223" s="11"/>
      <c r="J223" s="8">
        <f t="shared" si="102"/>
        <v>0</v>
      </c>
      <c r="K223" s="6">
        <f>(('[1]PURCHASE COST'!D222/18)+(('[1]PURCHASE COST'!D222/18)*3.87%))*I223</f>
        <v>0</v>
      </c>
      <c r="L223" s="32"/>
      <c r="M223" s="12">
        <f t="shared" si="103"/>
        <v>0</v>
      </c>
    </row>
    <row r="224" spans="1:13" ht="15.75" customHeight="1" x14ac:dyDescent="0.2">
      <c r="A224" s="28"/>
      <c r="B224" s="28"/>
      <c r="C224" s="13" t="s">
        <v>13</v>
      </c>
      <c r="D224" s="11"/>
      <c r="E224" s="6">
        <f>(('[1]PURCHASE COST'!D223/24)+(('[1]PURCHASE COST'!D223/24)*3.87%))*D224</f>
        <v>0</v>
      </c>
      <c r="F224" s="32"/>
      <c r="G224" s="8"/>
      <c r="H224" s="14" t="s">
        <v>13</v>
      </c>
      <c r="I224" s="11"/>
      <c r="J224" s="8">
        <f t="shared" si="102"/>
        <v>0</v>
      </c>
      <c r="K224" s="6">
        <f>(('[1]PURCHASE COST'!D223/24)+(('[1]PURCHASE COST'!D223/24)*3.87%))*I224</f>
        <v>0</v>
      </c>
      <c r="L224" s="32"/>
      <c r="M224" s="12">
        <f t="shared" si="103"/>
        <v>0</v>
      </c>
    </row>
    <row r="225" spans="1:13" ht="15.75" customHeight="1" thickBot="1" x14ac:dyDescent="0.25">
      <c r="A225" s="29"/>
      <c r="B225" s="29"/>
      <c r="C225" s="13" t="s">
        <v>14</v>
      </c>
      <c r="D225" s="11"/>
      <c r="E225" s="6">
        <f>((('[1]PURCHASE COST'!D221/12)+(('[1]PURCHASE COST'!D221/12)*3.87%))/12.5)*D225</f>
        <v>0</v>
      </c>
      <c r="F225" s="33"/>
      <c r="G225" s="8"/>
      <c r="H225" s="14" t="s">
        <v>14</v>
      </c>
      <c r="I225" s="11"/>
      <c r="J225" s="8">
        <f t="shared" ref="J225" si="104">((((D221+G221)-I221)*16.5)+D225)-I225</f>
        <v>0</v>
      </c>
      <c r="K225" s="15">
        <f>((('[1]PURCHASE COST'!D221/12)+(('[1]PURCHASE COST'!D221/12)*3.87%))/12.5)*I225</f>
        <v>0</v>
      </c>
      <c r="L225" s="34"/>
      <c r="M225" s="12"/>
    </row>
    <row r="226" spans="1:13" ht="15.75" customHeight="1" thickTop="1" x14ac:dyDescent="0.2">
      <c r="A226" s="27">
        <v>49</v>
      </c>
      <c r="B226" s="30" t="s">
        <v>64</v>
      </c>
      <c r="C226" s="4" t="s">
        <v>10</v>
      </c>
      <c r="D226" s="11"/>
      <c r="E226" s="6">
        <f>(('[1]PURCHASE COST'!D225/9)+(('[1]PURCHASE COST'!D225/9)*3.87%))*D226</f>
        <v>0</v>
      </c>
      <c r="F226" s="45">
        <f>E226+E227+E228+E229+E230</f>
        <v>0</v>
      </c>
      <c r="G226" s="5"/>
      <c r="H226" s="7" t="s">
        <v>10</v>
      </c>
      <c r="I226" s="11"/>
      <c r="J226" s="8">
        <f t="shared" ref="J226:J229" si="105">(D226+G226)-I226</f>
        <v>0</v>
      </c>
      <c r="K226" s="9">
        <f>(('[1]PURCHASE COST'!D225/9)+(('[1]PURCHASE COST'!D225/9)*3.87%))*I226</f>
        <v>0</v>
      </c>
      <c r="L226" s="31">
        <f>K226+K227+K228+K229+K230</f>
        <v>0</v>
      </c>
      <c r="M226" s="10">
        <f t="shared" ref="M226:M229" si="106">D226-I226</f>
        <v>0</v>
      </c>
    </row>
    <row r="227" spans="1:13" ht="15.75" customHeight="1" x14ac:dyDescent="0.2">
      <c r="A227" s="28"/>
      <c r="B227" s="28"/>
      <c r="C227" s="4" t="s">
        <v>11</v>
      </c>
      <c r="D227" s="11"/>
      <c r="E227" s="6">
        <f>(('[1]PURCHASE COST'!D226/12)+(('[1]PURCHASE COST'!D226/12)*3.87%))*D227</f>
        <v>0</v>
      </c>
      <c r="F227" s="32"/>
      <c r="G227" s="8"/>
      <c r="H227" s="7" t="s">
        <v>11</v>
      </c>
      <c r="I227" s="11"/>
      <c r="J227" s="8">
        <f t="shared" si="105"/>
        <v>0</v>
      </c>
      <c r="K227" s="6">
        <f>(('[1]PURCHASE COST'!D226/12)+(('[1]PURCHASE COST'!D226/12)*3.87%))*I227</f>
        <v>0</v>
      </c>
      <c r="L227" s="32"/>
      <c r="M227" s="12">
        <f t="shared" si="106"/>
        <v>0</v>
      </c>
    </row>
    <row r="228" spans="1:13" ht="15.75" customHeight="1" x14ac:dyDescent="0.2">
      <c r="A228" s="28"/>
      <c r="B228" s="28"/>
      <c r="C228" s="13" t="s">
        <v>12</v>
      </c>
      <c r="D228" s="11"/>
      <c r="E228" s="6">
        <f>(('[1]PURCHASE COST'!D227/18)+(('[1]PURCHASE COST'!D227/18)*3.87%))*D228</f>
        <v>0</v>
      </c>
      <c r="F228" s="32"/>
      <c r="G228" s="8"/>
      <c r="H228" s="14" t="s">
        <v>12</v>
      </c>
      <c r="I228" s="11"/>
      <c r="J228" s="8">
        <f t="shared" si="105"/>
        <v>0</v>
      </c>
      <c r="K228" s="6">
        <f>(('[1]PURCHASE COST'!D227/18)+(('[1]PURCHASE COST'!D227/18)*3.87%))*I228</f>
        <v>0</v>
      </c>
      <c r="L228" s="32"/>
      <c r="M228" s="12">
        <f t="shared" si="106"/>
        <v>0</v>
      </c>
    </row>
    <row r="229" spans="1:13" ht="15.75" customHeight="1" x14ac:dyDescent="0.2">
      <c r="A229" s="28"/>
      <c r="B229" s="28"/>
      <c r="C229" s="13" t="s">
        <v>13</v>
      </c>
      <c r="D229" s="11"/>
      <c r="E229" s="6">
        <f>(('[1]PURCHASE COST'!D228/24)+(('[1]PURCHASE COST'!D228/24)*3.87%))*D229</f>
        <v>0</v>
      </c>
      <c r="F229" s="32"/>
      <c r="G229" s="8"/>
      <c r="H229" s="14" t="s">
        <v>13</v>
      </c>
      <c r="I229" s="11"/>
      <c r="J229" s="8">
        <f t="shared" si="105"/>
        <v>0</v>
      </c>
      <c r="K229" s="6">
        <f>(('[1]PURCHASE COST'!D228/24)+(('[1]PURCHASE COST'!D228/24)*3.87%))*I229</f>
        <v>0</v>
      </c>
      <c r="L229" s="32"/>
      <c r="M229" s="12">
        <f t="shared" si="106"/>
        <v>0</v>
      </c>
    </row>
    <row r="230" spans="1:13" ht="15.75" customHeight="1" thickBot="1" x14ac:dyDescent="0.25">
      <c r="A230" s="29"/>
      <c r="B230" s="29"/>
      <c r="C230" s="13" t="s">
        <v>14</v>
      </c>
      <c r="D230" s="21"/>
      <c r="E230" s="15">
        <f>((('[1]PURCHASE COST'!D226/12)+(('[1]PURCHASE COST'!D226/12)*3.87%))/12.5)*D230</f>
        <v>0</v>
      </c>
      <c r="F230" s="34"/>
      <c r="G230" s="8"/>
      <c r="H230" s="14" t="s">
        <v>14</v>
      </c>
      <c r="I230" s="21"/>
      <c r="J230" s="8">
        <f t="shared" ref="J230" si="107">((((D226+G226)-I226)*16.5)+D230)-I230</f>
        <v>0</v>
      </c>
      <c r="K230" s="15">
        <f>((('[1]PURCHASE COST'!D226/12)+(('[1]PURCHASE COST'!D226/12)*3.87%))/12.5)*I230</f>
        <v>0</v>
      </c>
      <c r="L230" s="34"/>
      <c r="M230" s="12"/>
    </row>
    <row r="231" spans="1:13" ht="15.75" customHeight="1" thickTop="1" x14ac:dyDescent="0.2">
      <c r="A231" s="27">
        <v>50</v>
      </c>
      <c r="B231" s="30" t="s">
        <v>65</v>
      </c>
      <c r="C231" s="4" t="s">
        <v>10</v>
      </c>
      <c r="D231" s="11"/>
      <c r="E231" s="6">
        <f>(('[1]PURCHASE COST'!D230/9)+(('[1]PURCHASE COST'!D230/9)*3.87%))*D231</f>
        <v>0</v>
      </c>
      <c r="F231" s="45">
        <f>E231+E232+E233+E234+E235</f>
        <v>0</v>
      </c>
      <c r="G231" s="5"/>
      <c r="H231" s="7" t="s">
        <v>10</v>
      </c>
      <c r="I231" s="11"/>
      <c r="J231" s="8">
        <f t="shared" ref="J231:J234" si="108">(D231+G231)-I231</f>
        <v>0</v>
      </c>
      <c r="K231" s="9">
        <f>(('[1]PURCHASE COST'!D230/9)+(('[1]PURCHASE COST'!D230/9)*3.87%))*I231</f>
        <v>0</v>
      </c>
      <c r="L231" s="31">
        <f>K231+K232+K233+K234+K235</f>
        <v>0</v>
      </c>
      <c r="M231" s="10">
        <f t="shared" ref="M231:M234" si="109">D231-I231</f>
        <v>0</v>
      </c>
    </row>
    <row r="232" spans="1:13" ht="15.75" customHeight="1" x14ac:dyDescent="0.2">
      <c r="A232" s="28"/>
      <c r="B232" s="28"/>
      <c r="C232" s="4" t="s">
        <v>11</v>
      </c>
      <c r="D232" s="11"/>
      <c r="E232" s="6">
        <f>(('[1]PURCHASE COST'!D231/12)+(('[1]PURCHASE COST'!D231/12)*3.87%))*D232</f>
        <v>0</v>
      </c>
      <c r="F232" s="32"/>
      <c r="G232" s="8"/>
      <c r="H232" s="7" t="s">
        <v>11</v>
      </c>
      <c r="I232" s="11"/>
      <c r="J232" s="8">
        <f t="shared" si="108"/>
        <v>0</v>
      </c>
      <c r="K232" s="6">
        <f>(('[1]PURCHASE COST'!D231/12)+(('[1]PURCHASE COST'!D231/12)*3.87%))*I232</f>
        <v>0</v>
      </c>
      <c r="L232" s="32"/>
      <c r="M232" s="12">
        <f t="shared" si="109"/>
        <v>0</v>
      </c>
    </row>
    <row r="233" spans="1:13" ht="15.75" customHeight="1" x14ac:dyDescent="0.2">
      <c r="A233" s="28"/>
      <c r="B233" s="28"/>
      <c r="C233" s="13" t="s">
        <v>12</v>
      </c>
      <c r="D233" s="11"/>
      <c r="E233" s="6">
        <f>(('[1]PURCHASE COST'!D232/18)+(('[1]PURCHASE COST'!D232/18)*3.87%))*D233</f>
        <v>0</v>
      </c>
      <c r="F233" s="32"/>
      <c r="G233" s="8"/>
      <c r="H233" s="14" t="s">
        <v>12</v>
      </c>
      <c r="I233" s="11"/>
      <c r="J233" s="8">
        <f t="shared" si="108"/>
        <v>0</v>
      </c>
      <c r="K233" s="6">
        <f>(('[1]PURCHASE COST'!D232/18)+(('[1]PURCHASE COST'!D232/18)*3.87%))*I233</f>
        <v>0</v>
      </c>
      <c r="L233" s="32"/>
      <c r="M233" s="12">
        <f t="shared" si="109"/>
        <v>0</v>
      </c>
    </row>
    <row r="234" spans="1:13" ht="15.75" customHeight="1" x14ac:dyDescent="0.2">
      <c r="A234" s="28"/>
      <c r="B234" s="28"/>
      <c r="C234" s="13" t="s">
        <v>13</v>
      </c>
      <c r="D234" s="11"/>
      <c r="E234" s="6">
        <f>(('[1]PURCHASE COST'!D233/24)+(('[1]PURCHASE COST'!D233/24)*3.87%))*D234</f>
        <v>0</v>
      </c>
      <c r="F234" s="32"/>
      <c r="G234" s="8"/>
      <c r="H234" s="14" t="s">
        <v>13</v>
      </c>
      <c r="I234" s="11"/>
      <c r="J234" s="8">
        <f t="shared" si="108"/>
        <v>0</v>
      </c>
      <c r="K234" s="6">
        <f>(('[1]PURCHASE COST'!D233/24)+(('[1]PURCHASE COST'!D233/24)*3.87%))*I234</f>
        <v>0</v>
      </c>
      <c r="L234" s="32"/>
      <c r="M234" s="12">
        <f t="shared" si="109"/>
        <v>0</v>
      </c>
    </row>
    <row r="235" spans="1:13" ht="15.75" customHeight="1" thickBot="1" x14ac:dyDescent="0.25">
      <c r="A235" s="29"/>
      <c r="B235" s="29"/>
      <c r="C235" s="13" t="s">
        <v>14</v>
      </c>
      <c r="D235" s="21"/>
      <c r="E235" s="15">
        <f>((('[1]PURCHASE COST'!D231/12)+(('[1]PURCHASE COST'!D231/12)*3.87%))/12.5)*D235</f>
        <v>0</v>
      </c>
      <c r="F235" s="34"/>
      <c r="G235" s="8"/>
      <c r="H235" s="14" t="s">
        <v>14</v>
      </c>
      <c r="I235" s="21"/>
      <c r="J235" s="8">
        <f t="shared" ref="J235" si="110">((((D231+G231)-I231)*16.5)+D235)-I235</f>
        <v>0</v>
      </c>
      <c r="K235" s="15">
        <f>((('[1]PURCHASE COST'!D231/12)+(('[1]PURCHASE COST'!D231/12)*3.87%))/12.5)*I235</f>
        <v>0</v>
      </c>
      <c r="L235" s="34"/>
      <c r="M235" s="12"/>
    </row>
    <row r="236" spans="1:13" ht="15.75" customHeight="1" thickTop="1" x14ac:dyDescent="0.2">
      <c r="A236" s="27">
        <v>51</v>
      </c>
      <c r="B236" s="30" t="s">
        <v>66</v>
      </c>
      <c r="C236" s="4" t="s">
        <v>10</v>
      </c>
      <c r="D236" s="11"/>
      <c r="E236" s="6">
        <f>(('[1]PURCHASE COST'!D235/9)+(('[1]PURCHASE COST'!D235/9)*3.87%))*D236</f>
        <v>0</v>
      </c>
      <c r="F236" s="45">
        <f>E236+E237+E238+E239+E240</f>
        <v>0</v>
      </c>
      <c r="G236" s="5"/>
      <c r="H236" s="7" t="s">
        <v>10</v>
      </c>
      <c r="I236" s="11"/>
      <c r="J236" s="8">
        <f t="shared" ref="J236:J239" si="111">(D236+G236)-I236</f>
        <v>0</v>
      </c>
      <c r="K236" s="9">
        <f>(('[1]PURCHASE COST'!D235/9)+(('[1]PURCHASE COST'!D235/9)*3.87%))*I236</f>
        <v>0</v>
      </c>
      <c r="L236" s="31">
        <f>K236+K237+K238+K239+K240</f>
        <v>0</v>
      </c>
      <c r="M236" s="10">
        <f t="shared" ref="M236:M239" si="112">D236-I236</f>
        <v>0</v>
      </c>
    </row>
    <row r="237" spans="1:13" ht="15.75" customHeight="1" x14ac:dyDescent="0.2">
      <c r="A237" s="28"/>
      <c r="B237" s="28"/>
      <c r="C237" s="4" t="s">
        <v>11</v>
      </c>
      <c r="D237" s="11"/>
      <c r="E237" s="6">
        <f>(('[1]PURCHASE COST'!D236/12)+(('[1]PURCHASE COST'!D236/12)*3.87%))*D237</f>
        <v>0</v>
      </c>
      <c r="F237" s="32"/>
      <c r="G237" s="8"/>
      <c r="H237" s="7" t="s">
        <v>11</v>
      </c>
      <c r="I237" s="11"/>
      <c r="J237" s="8">
        <f t="shared" si="111"/>
        <v>0</v>
      </c>
      <c r="K237" s="6">
        <f>(('[1]PURCHASE COST'!D236/12)+(('[1]PURCHASE COST'!D236/12)*3.87%))*I237</f>
        <v>0</v>
      </c>
      <c r="L237" s="32"/>
      <c r="M237" s="12">
        <f t="shared" si="112"/>
        <v>0</v>
      </c>
    </row>
    <row r="238" spans="1:13" ht="15.75" customHeight="1" x14ac:dyDescent="0.2">
      <c r="A238" s="28"/>
      <c r="B238" s="28"/>
      <c r="C238" s="13" t="s">
        <v>12</v>
      </c>
      <c r="D238" s="11"/>
      <c r="E238" s="6">
        <f>(('[1]PURCHASE COST'!D237/18)+(('[1]PURCHASE COST'!D237/18)*3.87%))*D238</f>
        <v>0</v>
      </c>
      <c r="F238" s="32"/>
      <c r="G238" s="8"/>
      <c r="H238" s="14" t="s">
        <v>12</v>
      </c>
      <c r="I238" s="11"/>
      <c r="J238" s="8">
        <f t="shared" si="111"/>
        <v>0</v>
      </c>
      <c r="K238" s="6">
        <f>(('[1]PURCHASE COST'!D237/18)+(('[1]PURCHASE COST'!D237/18)*3.87%))*I238</f>
        <v>0</v>
      </c>
      <c r="L238" s="32"/>
      <c r="M238" s="12">
        <f t="shared" si="112"/>
        <v>0</v>
      </c>
    </row>
    <row r="239" spans="1:13" ht="15.75" customHeight="1" x14ac:dyDescent="0.2">
      <c r="A239" s="28"/>
      <c r="B239" s="28"/>
      <c r="C239" s="13" t="s">
        <v>13</v>
      </c>
      <c r="D239" s="11"/>
      <c r="E239" s="6">
        <f>(('[1]PURCHASE COST'!D238/24)+(('[1]PURCHASE COST'!D238/24)*3.87%))*D239</f>
        <v>0</v>
      </c>
      <c r="F239" s="32"/>
      <c r="G239" s="8"/>
      <c r="H239" s="14" t="s">
        <v>13</v>
      </c>
      <c r="I239" s="11"/>
      <c r="J239" s="8">
        <f t="shared" si="111"/>
        <v>0</v>
      </c>
      <c r="K239" s="6">
        <f>(('[1]PURCHASE COST'!D238/24)+(('[1]PURCHASE COST'!D238/24)*3.87%))*I239</f>
        <v>0</v>
      </c>
      <c r="L239" s="32"/>
      <c r="M239" s="12">
        <f t="shared" si="112"/>
        <v>0</v>
      </c>
    </row>
    <row r="240" spans="1:13" ht="15.75" customHeight="1" thickBot="1" x14ac:dyDescent="0.25">
      <c r="A240" s="29"/>
      <c r="B240" s="29"/>
      <c r="C240" s="13" t="s">
        <v>14</v>
      </c>
      <c r="D240" s="21"/>
      <c r="E240" s="15">
        <f>((('[1]PURCHASE COST'!D236/12)+(('[1]PURCHASE COST'!D236/12)*3.87%))/12.5)*D240</f>
        <v>0</v>
      </c>
      <c r="F240" s="34"/>
      <c r="G240" s="8"/>
      <c r="H240" s="14" t="s">
        <v>14</v>
      </c>
      <c r="I240" s="21"/>
      <c r="J240" s="8">
        <f t="shared" ref="J240" si="113">((((D236+G236)-I236)*16.5)+D240)-I240</f>
        <v>0</v>
      </c>
      <c r="K240" s="15">
        <f>((('[1]PURCHASE COST'!D236/12)+(('[1]PURCHASE COST'!D236/12)*3.87%))/12.5)*I240</f>
        <v>0</v>
      </c>
      <c r="L240" s="34"/>
      <c r="M240" s="12"/>
    </row>
    <row r="241" spans="1:13" ht="15.75" customHeight="1" thickTop="1" x14ac:dyDescent="0.2">
      <c r="A241" s="27">
        <v>52</v>
      </c>
      <c r="B241" s="30" t="s">
        <v>67</v>
      </c>
      <c r="C241" s="4" t="s">
        <v>10</v>
      </c>
      <c r="D241" s="11">
        <v>1</v>
      </c>
      <c r="E241" s="6">
        <f>(('[1]PURCHASE COST'!D240/9)+(('[1]PURCHASE COST'!D240/9)*3.87%))*D241</f>
        <v>1747.3219140000001</v>
      </c>
      <c r="F241" s="45">
        <f>E241+E242+E243+E244+E245</f>
        <v>1747.3219140000001</v>
      </c>
      <c r="G241" s="5"/>
      <c r="H241" s="7" t="s">
        <v>10</v>
      </c>
      <c r="I241" s="11">
        <v>1</v>
      </c>
      <c r="J241" s="8">
        <f t="shared" ref="J241:J244" si="114">(D241+G241)-I241</f>
        <v>0</v>
      </c>
      <c r="K241" s="9">
        <f>(('[1]PURCHASE COST'!D240/9)+(('[1]PURCHASE COST'!D240/9)*3.87%))*I241</f>
        <v>1747.3219140000001</v>
      </c>
      <c r="L241" s="31">
        <f>K241+K242+K243+K244+K245</f>
        <v>1747.3219140000001</v>
      </c>
      <c r="M241" s="10">
        <f t="shared" ref="M241:M244" si="115">D241-I241</f>
        <v>0</v>
      </c>
    </row>
    <row r="242" spans="1:13" ht="15.75" customHeight="1" x14ac:dyDescent="0.2">
      <c r="A242" s="28"/>
      <c r="B242" s="28"/>
      <c r="C242" s="4" t="s">
        <v>11</v>
      </c>
      <c r="D242" s="11"/>
      <c r="E242" s="6">
        <f>(('[1]PURCHASE COST'!D241/12)+(('[1]PURCHASE COST'!D241/12)*3.87%))*D242</f>
        <v>0</v>
      </c>
      <c r="F242" s="32"/>
      <c r="G242" s="8"/>
      <c r="H242" s="7" t="s">
        <v>11</v>
      </c>
      <c r="I242" s="11"/>
      <c r="J242" s="8">
        <f t="shared" si="114"/>
        <v>0</v>
      </c>
      <c r="K242" s="6">
        <f>(('[1]PURCHASE COST'!D241/12)+(('[1]PURCHASE COST'!D241/12)*3.87%))*I242</f>
        <v>0</v>
      </c>
      <c r="L242" s="32"/>
      <c r="M242" s="12">
        <f t="shared" si="115"/>
        <v>0</v>
      </c>
    </row>
    <row r="243" spans="1:13" ht="15.75" customHeight="1" x14ac:dyDescent="0.2">
      <c r="A243" s="28"/>
      <c r="B243" s="28"/>
      <c r="C243" s="13" t="s">
        <v>12</v>
      </c>
      <c r="D243" s="11"/>
      <c r="E243" s="6">
        <f>(('[1]PURCHASE COST'!D242/18)+(('[1]PURCHASE COST'!D242/18)*3.87%))*D243</f>
        <v>0</v>
      </c>
      <c r="F243" s="32"/>
      <c r="G243" s="8"/>
      <c r="H243" s="14" t="s">
        <v>12</v>
      </c>
      <c r="I243" s="11"/>
      <c r="J243" s="8">
        <f t="shared" si="114"/>
        <v>0</v>
      </c>
      <c r="K243" s="6">
        <f>(('[1]PURCHASE COST'!D242/18)+(('[1]PURCHASE COST'!D242/18)*3.87%))*I243</f>
        <v>0</v>
      </c>
      <c r="L243" s="32"/>
      <c r="M243" s="12">
        <f t="shared" si="115"/>
        <v>0</v>
      </c>
    </row>
    <row r="244" spans="1:13" ht="15.75" customHeight="1" x14ac:dyDescent="0.2">
      <c r="A244" s="28"/>
      <c r="B244" s="28"/>
      <c r="C244" s="13" t="s">
        <v>13</v>
      </c>
      <c r="D244" s="11"/>
      <c r="E244" s="6">
        <f>(('[1]PURCHASE COST'!D243/24)+(('[1]PURCHASE COST'!D243/24)*3.87%))*D244</f>
        <v>0</v>
      </c>
      <c r="F244" s="32"/>
      <c r="G244" s="8"/>
      <c r="H244" s="14" t="s">
        <v>13</v>
      </c>
      <c r="I244" s="11"/>
      <c r="J244" s="8">
        <f t="shared" si="114"/>
        <v>0</v>
      </c>
      <c r="K244" s="6">
        <f>(('[1]PURCHASE COST'!D243/24)+(('[1]PURCHASE COST'!D243/24)*3.87%))*I244</f>
        <v>0</v>
      </c>
      <c r="L244" s="32"/>
      <c r="M244" s="12">
        <f t="shared" si="115"/>
        <v>0</v>
      </c>
    </row>
    <row r="245" spans="1:13" ht="15.75" customHeight="1" thickBot="1" x14ac:dyDescent="0.25">
      <c r="A245" s="29"/>
      <c r="B245" s="29"/>
      <c r="C245" s="13" t="s">
        <v>14</v>
      </c>
      <c r="D245" s="21">
        <v>1</v>
      </c>
      <c r="E245" s="15">
        <f>((('[1]PURCHASE COST'!D241/12)+(('[1]PURCHASE COST'!D241/12)*3.87%))/12.5)*D245</f>
        <v>0</v>
      </c>
      <c r="F245" s="34"/>
      <c r="G245" s="8"/>
      <c r="H245" s="14" t="s">
        <v>14</v>
      </c>
      <c r="I245" s="21">
        <v>1</v>
      </c>
      <c r="J245" s="8">
        <f t="shared" ref="J245" si="116">((((D241+G241)-I241)*16.5)+D245)-I245</f>
        <v>0</v>
      </c>
      <c r="K245" s="15">
        <f>((('[1]PURCHASE COST'!D241/12)+(('[1]PURCHASE COST'!D241/12)*3.87%))/12.5)*I245</f>
        <v>0</v>
      </c>
      <c r="L245" s="34"/>
      <c r="M245" s="12"/>
    </row>
    <row r="246" spans="1:13" ht="15.75" customHeight="1" thickTop="1" x14ac:dyDescent="0.2">
      <c r="A246" s="27">
        <v>53</v>
      </c>
      <c r="B246" s="30" t="s">
        <v>68</v>
      </c>
      <c r="C246" s="4" t="s">
        <v>10</v>
      </c>
      <c r="D246" s="11">
        <v>199</v>
      </c>
      <c r="E246" s="6">
        <f>(('[1]PURCHASE COST'!D245/9)+(('[1]PURCHASE COST'!D245/9)*3.87%))*D246</f>
        <v>112996.71066666665</v>
      </c>
      <c r="F246" s="45">
        <f>E246+E247+E248+E249+E250</f>
        <v>112996.71066666665</v>
      </c>
      <c r="G246" s="5"/>
      <c r="H246" s="7" t="s">
        <v>10</v>
      </c>
      <c r="I246" s="11">
        <v>193</v>
      </c>
      <c r="J246" s="8"/>
      <c r="K246" s="9">
        <f>(('[1]PURCHASE COST'!D245/9)+(('[1]PURCHASE COST'!D245/9)*3.87%))*I246</f>
        <v>109589.77466666665</v>
      </c>
      <c r="L246" s="31">
        <f>K246+K247+K248+K249+K250</f>
        <v>109589.77466666665</v>
      </c>
      <c r="M246" s="10">
        <f t="shared" ref="M246:M249" si="117">D246-I246</f>
        <v>6</v>
      </c>
    </row>
    <row r="247" spans="1:13" ht="15.75" customHeight="1" x14ac:dyDescent="0.2">
      <c r="A247" s="28"/>
      <c r="B247" s="28"/>
      <c r="C247" s="4" t="s">
        <v>11</v>
      </c>
      <c r="D247" s="11"/>
      <c r="E247" s="6">
        <f>(('[1]PURCHASE COST'!D246/12)+(('[1]PURCHASE COST'!D246/12)*3.87%))*D247</f>
        <v>0</v>
      </c>
      <c r="F247" s="32"/>
      <c r="G247" s="8"/>
      <c r="H247" s="7" t="s">
        <v>11</v>
      </c>
      <c r="I247" s="11"/>
      <c r="J247" s="8">
        <f t="shared" ref="J247:J249" si="118">(D247+G247)-I247</f>
        <v>0</v>
      </c>
      <c r="K247" s="6">
        <f>(('[1]PURCHASE COST'!D246/12)+(('[1]PURCHASE COST'!D246/12)*3.87%))*I247</f>
        <v>0</v>
      </c>
      <c r="L247" s="32"/>
      <c r="M247" s="12">
        <f t="shared" si="117"/>
        <v>0</v>
      </c>
    </row>
    <row r="248" spans="1:13" ht="15.75" customHeight="1" x14ac:dyDescent="0.2">
      <c r="A248" s="28"/>
      <c r="B248" s="28"/>
      <c r="C248" s="13" t="s">
        <v>12</v>
      </c>
      <c r="D248" s="11"/>
      <c r="E248" s="6">
        <f>(('[1]PURCHASE COST'!D247/18)+(('[1]PURCHASE COST'!D247/18)*3.87%))*D248</f>
        <v>0</v>
      </c>
      <c r="F248" s="32"/>
      <c r="G248" s="8"/>
      <c r="H248" s="14" t="s">
        <v>12</v>
      </c>
      <c r="I248" s="11"/>
      <c r="J248" s="8">
        <f t="shared" si="118"/>
        <v>0</v>
      </c>
      <c r="K248" s="6">
        <f>(('[1]PURCHASE COST'!D247/18)+(('[1]PURCHASE COST'!D247/18)*3.87%))*I248</f>
        <v>0</v>
      </c>
      <c r="L248" s="32"/>
      <c r="M248" s="12">
        <f t="shared" si="117"/>
        <v>0</v>
      </c>
    </row>
    <row r="249" spans="1:13" ht="15.75" customHeight="1" x14ac:dyDescent="0.2">
      <c r="A249" s="28"/>
      <c r="B249" s="28"/>
      <c r="C249" s="13" t="s">
        <v>13</v>
      </c>
      <c r="D249" s="11"/>
      <c r="E249" s="6">
        <f>(('[1]PURCHASE COST'!D248/24)+(('[1]PURCHASE COST'!D248/24)*3.87%))*D249</f>
        <v>0</v>
      </c>
      <c r="F249" s="32"/>
      <c r="G249" s="8"/>
      <c r="H249" s="14" t="s">
        <v>13</v>
      </c>
      <c r="I249" s="11"/>
      <c r="J249" s="8">
        <f t="shared" si="118"/>
        <v>0</v>
      </c>
      <c r="K249" s="6">
        <f>(('[1]PURCHASE COST'!D248/24)+(('[1]PURCHASE COST'!D248/24)*3.87%))*I249</f>
        <v>0</v>
      </c>
      <c r="L249" s="32"/>
      <c r="M249" s="12">
        <f t="shared" si="117"/>
        <v>0</v>
      </c>
    </row>
    <row r="250" spans="1:13" ht="15.75" customHeight="1" thickBot="1" x14ac:dyDescent="0.25">
      <c r="A250" s="29"/>
      <c r="B250" s="29"/>
      <c r="C250" s="13" t="s">
        <v>14</v>
      </c>
      <c r="D250" s="11">
        <v>7</v>
      </c>
      <c r="E250" s="15">
        <f>((('[1]PURCHASE COST'!D246/12)+(('[1]PURCHASE COST'!D246/12)*3.87%))/12.5)*D250</f>
        <v>0</v>
      </c>
      <c r="F250" s="34"/>
      <c r="G250" s="8"/>
      <c r="H250" s="14" t="s">
        <v>14</v>
      </c>
      <c r="I250" s="11">
        <v>12</v>
      </c>
      <c r="J250" s="8">
        <f t="shared" ref="J250" si="119">((((D246+G246)-I246)*16.5)+D250)-I250</f>
        <v>94</v>
      </c>
      <c r="K250" s="15">
        <f>((('[1]PURCHASE COST'!D246/12)+(('[1]PURCHASE COST'!D246/12)*3.87%))/12.5)*I250</f>
        <v>0</v>
      </c>
      <c r="L250" s="34"/>
      <c r="M250" s="12"/>
    </row>
    <row r="251" spans="1:13" ht="15.75" customHeight="1" thickTop="1" x14ac:dyDescent="0.2">
      <c r="A251" s="27">
        <v>54</v>
      </c>
      <c r="B251" s="30" t="s">
        <v>69</v>
      </c>
      <c r="C251" s="4" t="s">
        <v>10</v>
      </c>
      <c r="D251" s="11">
        <v>35</v>
      </c>
      <c r="E251" s="6">
        <f>(('[1]PURCHASE COST'!D250/9)+(('[1]PURCHASE COST'!D250/9)*3.87%))*D251</f>
        <v>29568.326666666668</v>
      </c>
      <c r="F251" s="45">
        <f>E251+E252+E253+E254+E255</f>
        <v>29568.326666666668</v>
      </c>
      <c r="G251" s="5"/>
      <c r="H251" s="7" t="s">
        <v>10</v>
      </c>
      <c r="I251" s="11">
        <v>35</v>
      </c>
      <c r="J251" s="8"/>
      <c r="K251" s="9">
        <f>(('[1]PURCHASE COST'!D250/9)+(('[1]PURCHASE COST'!D250/9)*3.87%))*I251</f>
        <v>29568.326666666668</v>
      </c>
      <c r="L251" s="31">
        <f>K251+K252+K253+K254+K255</f>
        <v>29568.326666666668</v>
      </c>
      <c r="M251" s="10">
        <f t="shared" ref="M251:M254" si="120">D251-I251</f>
        <v>0</v>
      </c>
    </row>
    <row r="252" spans="1:13" ht="15.75" customHeight="1" x14ac:dyDescent="0.2">
      <c r="A252" s="28"/>
      <c r="B252" s="28"/>
      <c r="C252" s="4" t="s">
        <v>11</v>
      </c>
      <c r="D252" s="11"/>
      <c r="E252" s="6">
        <f>(('[1]PURCHASE COST'!D251/12)+(('[1]PURCHASE COST'!D251/12)*3.87%))*D252</f>
        <v>0</v>
      </c>
      <c r="F252" s="32"/>
      <c r="G252" s="8"/>
      <c r="H252" s="7" t="s">
        <v>11</v>
      </c>
      <c r="I252" s="11"/>
      <c r="J252" s="8">
        <f t="shared" ref="J252:J254" si="121">(D252+G252)-I252</f>
        <v>0</v>
      </c>
      <c r="K252" s="6">
        <f>(('[1]PURCHASE COST'!D251/12)+(('[1]PURCHASE COST'!D251/12)*3.87%))*I252</f>
        <v>0</v>
      </c>
      <c r="L252" s="32"/>
      <c r="M252" s="12">
        <f t="shared" si="120"/>
        <v>0</v>
      </c>
    </row>
    <row r="253" spans="1:13" ht="15.75" customHeight="1" x14ac:dyDescent="0.2">
      <c r="A253" s="28"/>
      <c r="B253" s="28"/>
      <c r="C253" s="13" t="s">
        <v>12</v>
      </c>
      <c r="D253" s="11">
        <v>11</v>
      </c>
      <c r="E253" s="6">
        <f>(('[1]PURCHASE COST'!D252/18)+(('[1]PURCHASE COST'!D252/18)*3.87%))*D253</f>
        <v>0</v>
      </c>
      <c r="F253" s="32"/>
      <c r="G253" s="8"/>
      <c r="H253" s="14" t="s">
        <v>12</v>
      </c>
      <c r="I253" s="11">
        <v>10</v>
      </c>
      <c r="J253" s="8">
        <f t="shared" si="121"/>
        <v>1</v>
      </c>
      <c r="K253" s="6">
        <f>(('[1]PURCHASE COST'!D252/18)+(('[1]PURCHASE COST'!D252/18)*3.87%))*I253</f>
        <v>0</v>
      </c>
      <c r="L253" s="32"/>
      <c r="M253" s="12">
        <f t="shared" si="120"/>
        <v>1</v>
      </c>
    </row>
    <row r="254" spans="1:13" ht="15.75" customHeight="1" x14ac:dyDescent="0.2">
      <c r="A254" s="28"/>
      <c r="B254" s="28"/>
      <c r="C254" s="13" t="s">
        <v>13</v>
      </c>
      <c r="D254" s="11"/>
      <c r="E254" s="6">
        <f>(('[1]PURCHASE COST'!D253/24)+(('[1]PURCHASE COST'!D253/24)*3.87%))*D254</f>
        <v>0</v>
      </c>
      <c r="F254" s="32"/>
      <c r="G254" s="8"/>
      <c r="H254" s="14" t="s">
        <v>13</v>
      </c>
      <c r="I254" s="11"/>
      <c r="J254" s="8">
        <f t="shared" si="121"/>
        <v>0</v>
      </c>
      <c r="K254" s="6">
        <f>(('[1]PURCHASE COST'!D253/24)+(('[1]PURCHASE COST'!D253/24)*3.87%))*I254</f>
        <v>0</v>
      </c>
      <c r="L254" s="32"/>
      <c r="M254" s="12">
        <f t="shared" si="120"/>
        <v>0</v>
      </c>
    </row>
    <row r="255" spans="1:13" ht="15.75" customHeight="1" thickBot="1" x14ac:dyDescent="0.25">
      <c r="A255" s="29"/>
      <c r="B255" s="29"/>
      <c r="C255" s="13" t="s">
        <v>14</v>
      </c>
      <c r="D255" s="11">
        <v>11</v>
      </c>
      <c r="E255" s="15">
        <f>((('[1]PURCHASE COST'!D251/12)+(('[1]PURCHASE COST'!D251/12)*3.87%))/12.5)*D255</f>
        <v>0</v>
      </c>
      <c r="F255" s="34"/>
      <c r="G255" s="8"/>
      <c r="H255" s="14" t="s">
        <v>14</v>
      </c>
      <c r="I255" s="11">
        <v>4.5</v>
      </c>
      <c r="J255" s="8">
        <f t="shared" ref="J255" si="122">((((D251+G251)-I251)*16.5)+D255)-I255</f>
        <v>6.5</v>
      </c>
      <c r="K255" s="15">
        <f>((('[1]PURCHASE COST'!D251/12)+(('[1]PURCHASE COST'!D251/12)*3.87%))/12.5)*I255</f>
        <v>0</v>
      </c>
      <c r="L255" s="34"/>
      <c r="M255" s="12"/>
    </row>
    <row r="256" spans="1:13" ht="15.75" thickTop="1" x14ac:dyDescent="0.2"/>
    <row r="258" spans="1:12" ht="15.75" customHeight="1" thickTop="1" x14ac:dyDescent="0.2">
      <c r="A258" s="69" t="s">
        <v>70</v>
      </c>
      <c r="B258" s="69"/>
      <c r="C258" s="69"/>
      <c r="D258" s="69"/>
      <c r="E258" s="23"/>
      <c r="F258" s="70">
        <f>L3+L8+L13+L18+L23+L28+L33+L38+L43+L48+L53+L60+L65+L70+L75+L80+L85+L90+L95+L100+L105+L110+L115+L120+L125+K130+K133+K136+K139+K142+K145+K148+K151+K154+K157+K160+K163+L166+L171+L176+L181+L186+L191+L196+L201+L206+L211+L216+L221+L226+L231+L236+L241+L246+L251</f>
        <v>2160459.1642818791</v>
      </c>
      <c r="G258" s="71"/>
      <c r="H258" s="71"/>
      <c r="I258" s="71"/>
      <c r="J258" s="71"/>
      <c r="K258" s="71"/>
      <c r="L258" s="72"/>
    </row>
    <row r="259" spans="1:12" ht="15.75" customHeight="1" x14ac:dyDescent="0.2">
      <c r="A259" s="69"/>
      <c r="B259" s="69"/>
      <c r="C259" s="69"/>
      <c r="D259" s="69"/>
      <c r="E259" s="23"/>
      <c r="F259" s="73"/>
      <c r="G259" s="74"/>
      <c r="H259" s="74"/>
      <c r="I259" s="74"/>
      <c r="J259" s="74"/>
      <c r="K259" s="74"/>
      <c r="L259" s="75"/>
    </row>
    <row r="260" spans="1:12" ht="15.75" customHeight="1" thickBot="1" x14ac:dyDescent="0.25">
      <c r="A260" s="69"/>
      <c r="B260" s="69"/>
      <c r="C260" s="69"/>
      <c r="D260" s="69"/>
      <c r="E260" s="23"/>
      <c r="F260" s="76"/>
      <c r="G260" s="77"/>
      <c r="H260" s="77"/>
      <c r="I260" s="77"/>
      <c r="J260" s="77"/>
      <c r="K260" s="77"/>
      <c r="L260" s="78"/>
    </row>
  </sheetData>
  <mergeCells count="312">
    <mergeCell ref="A258:D260"/>
    <mergeCell ref="F258:L260"/>
    <mergeCell ref="A246:A250"/>
    <mergeCell ref="B246:B250"/>
    <mergeCell ref="F246:F250"/>
    <mergeCell ref="L246:L250"/>
    <mergeCell ref="A251:A255"/>
    <mergeCell ref="B251:B255"/>
    <mergeCell ref="F251:F255"/>
    <mergeCell ref="L251:L255"/>
    <mergeCell ref="A236:A240"/>
    <mergeCell ref="B236:B240"/>
    <mergeCell ref="F236:F240"/>
    <mergeCell ref="L236:L240"/>
    <mergeCell ref="A241:A245"/>
    <mergeCell ref="B241:B245"/>
    <mergeCell ref="F241:F245"/>
    <mergeCell ref="L241:L245"/>
    <mergeCell ref="A226:A230"/>
    <mergeCell ref="B226:B230"/>
    <mergeCell ref="F226:F230"/>
    <mergeCell ref="L226:L230"/>
    <mergeCell ref="A231:A235"/>
    <mergeCell ref="B231:B235"/>
    <mergeCell ref="F231:F235"/>
    <mergeCell ref="L231:L235"/>
    <mergeCell ref="A216:A220"/>
    <mergeCell ref="B216:B220"/>
    <mergeCell ref="F216:F220"/>
    <mergeCell ref="L216:L220"/>
    <mergeCell ref="A221:A225"/>
    <mergeCell ref="B221:B225"/>
    <mergeCell ref="F221:F225"/>
    <mergeCell ref="L221:L225"/>
    <mergeCell ref="A206:A210"/>
    <mergeCell ref="B206:B210"/>
    <mergeCell ref="F206:F210"/>
    <mergeCell ref="L206:L210"/>
    <mergeCell ref="A211:A215"/>
    <mergeCell ref="B211:B215"/>
    <mergeCell ref="F211:F215"/>
    <mergeCell ref="L211:L215"/>
    <mergeCell ref="A196:A200"/>
    <mergeCell ref="B196:B200"/>
    <mergeCell ref="F196:F200"/>
    <mergeCell ref="L196:L200"/>
    <mergeCell ref="A201:A205"/>
    <mergeCell ref="B201:B205"/>
    <mergeCell ref="F201:F205"/>
    <mergeCell ref="L201:L205"/>
    <mergeCell ref="A186:A190"/>
    <mergeCell ref="B186:B190"/>
    <mergeCell ref="F186:F190"/>
    <mergeCell ref="L186:L190"/>
    <mergeCell ref="A191:A195"/>
    <mergeCell ref="B191:B195"/>
    <mergeCell ref="F191:F195"/>
    <mergeCell ref="L191:L195"/>
    <mergeCell ref="A176:A180"/>
    <mergeCell ref="B176:B180"/>
    <mergeCell ref="F176:F180"/>
    <mergeCell ref="L176:L180"/>
    <mergeCell ref="A181:A185"/>
    <mergeCell ref="B181:B185"/>
    <mergeCell ref="F181:F185"/>
    <mergeCell ref="L181:L185"/>
    <mergeCell ref="A166:A170"/>
    <mergeCell ref="B166:B170"/>
    <mergeCell ref="F166:F170"/>
    <mergeCell ref="L166:L170"/>
    <mergeCell ref="A171:A175"/>
    <mergeCell ref="B171:B175"/>
    <mergeCell ref="F171:F175"/>
    <mergeCell ref="L171:L175"/>
    <mergeCell ref="G163:G165"/>
    <mergeCell ref="H163:H165"/>
    <mergeCell ref="I163:I165"/>
    <mergeCell ref="J163:J165"/>
    <mergeCell ref="K163:L165"/>
    <mergeCell ref="M163:M165"/>
    <mergeCell ref="H160:H162"/>
    <mergeCell ref="I160:I162"/>
    <mergeCell ref="J160:J162"/>
    <mergeCell ref="K160:L162"/>
    <mergeCell ref="M160:M162"/>
    <mergeCell ref="G160:G162"/>
    <mergeCell ref="A163:A165"/>
    <mergeCell ref="B163:B165"/>
    <mergeCell ref="C163:C165"/>
    <mergeCell ref="D163:D165"/>
    <mergeCell ref="E163:F165"/>
    <mergeCell ref="A160:A162"/>
    <mergeCell ref="B160:B162"/>
    <mergeCell ref="C160:C162"/>
    <mergeCell ref="D160:D162"/>
    <mergeCell ref="E160:F162"/>
    <mergeCell ref="G157:G159"/>
    <mergeCell ref="H157:H159"/>
    <mergeCell ref="I157:I159"/>
    <mergeCell ref="J157:J159"/>
    <mergeCell ref="K157:L159"/>
    <mergeCell ref="M157:M159"/>
    <mergeCell ref="H154:H156"/>
    <mergeCell ref="I154:I156"/>
    <mergeCell ref="J154:J156"/>
    <mergeCell ref="K154:L156"/>
    <mergeCell ref="M154:M156"/>
    <mergeCell ref="G154:G156"/>
    <mergeCell ref="A157:A159"/>
    <mergeCell ref="B157:B159"/>
    <mergeCell ref="C157:C159"/>
    <mergeCell ref="D157:D159"/>
    <mergeCell ref="E157:F159"/>
    <mergeCell ref="A154:A156"/>
    <mergeCell ref="B154:B156"/>
    <mergeCell ref="C154:C156"/>
    <mergeCell ref="D154:D156"/>
    <mergeCell ref="E154:F156"/>
    <mergeCell ref="G151:G153"/>
    <mergeCell ref="H151:H153"/>
    <mergeCell ref="I151:I153"/>
    <mergeCell ref="J151:J153"/>
    <mergeCell ref="K151:L153"/>
    <mergeCell ref="M151:M153"/>
    <mergeCell ref="H148:H150"/>
    <mergeCell ref="I148:I150"/>
    <mergeCell ref="J148:J150"/>
    <mergeCell ref="K148:L150"/>
    <mergeCell ref="M148:M150"/>
    <mergeCell ref="G148:G150"/>
    <mergeCell ref="A151:A153"/>
    <mergeCell ref="B151:B153"/>
    <mergeCell ref="C151:C153"/>
    <mergeCell ref="D151:D153"/>
    <mergeCell ref="E151:F153"/>
    <mergeCell ref="A148:A150"/>
    <mergeCell ref="B148:B150"/>
    <mergeCell ref="C148:C150"/>
    <mergeCell ref="D148:D150"/>
    <mergeCell ref="E148:F150"/>
    <mergeCell ref="G145:G147"/>
    <mergeCell ref="H145:H147"/>
    <mergeCell ref="I145:I147"/>
    <mergeCell ref="J145:J147"/>
    <mergeCell ref="K145:L147"/>
    <mergeCell ref="M145:M147"/>
    <mergeCell ref="H142:H144"/>
    <mergeCell ref="I142:I144"/>
    <mergeCell ref="J142:J144"/>
    <mergeCell ref="K142:L144"/>
    <mergeCell ref="M142:M144"/>
    <mergeCell ref="G142:G144"/>
    <mergeCell ref="A145:A147"/>
    <mergeCell ref="B145:B147"/>
    <mergeCell ref="C145:C147"/>
    <mergeCell ref="D145:D147"/>
    <mergeCell ref="E145:F147"/>
    <mergeCell ref="A142:A144"/>
    <mergeCell ref="B142:B144"/>
    <mergeCell ref="C142:C144"/>
    <mergeCell ref="D142:D144"/>
    <mergeCell ref="E142:F144"/>
    <mergeCell ref="G139:G141"/>
    <mergeCell ref="H139:H141"/>
    <mergeCell ref="I139:I141"/>
    <mergeCell ref="J139:J141"/>
    <mergeCell ref="K139:L141"/>
    <mergeCell ref="M139:M141"/>
    <mergeCell ref="H136:H138"/>
    <mergeCell ref="I136:I138"/>
    <mergeCell ref="J136:J138"/>
    <mergeCell ref="K136:L138"/>
    <mergeCell ref="M136:M138"/>
    <mergeCell ref="G136:G138"/>
    <mergeCell ref="A139:A141"/>
    <mergeCell ref="B139:B141"/>
    <mergeCell ref="C139:C141"/>
    <mergeCell ref="D139:D141"/>
    <mergeCell ref="E139:F141"/>
    <mergeCell ref="A136:A138"/>
    <mergeCell ref="B136:B138"/>
    <mergeCell ref="C136:C138"/>
    <mergeCell ref="D136:D138"/>
    <mergeCell ref="E136:F138"/>
    <mergeCell ref="G133:G135"/>
    <mergeCell ref="H133:H135"/>
    <mergeCell ref="I133:I135"/>
    <mergeCell ref="J133:J135"/>
    <mergeCell ref="K133:L135"/>
    <mergeCell ref="M133:M135"/>
    <mergeCell ref="H130:H132"/>
    <mergeCell ref="I130:I132"/>
    <mergeCell ref="J130:J132"/>
    <mergeCell ref="K130:L132"/>
    <mergeCell ref="M130:M132"/>
    <mergeCell ref="G130:G132"/>
    <mergeCell ref="A133:A135"/>
    <mergeCell ref="B133:B135"/>
    <mergeCell ref="C133:C135"/>
    <mergeCell ref="D133:D135"/>
    <mergeCell ref="E133:F135"/>
    <mergeCell ref="A130:A132"/>
    <mergeCell ref="B130:B132"/>
    <mergeCell ref="C130:C132"/>
    <mergeCell ref="D130:D132"/>
    <mergeCell ref="E130:F132"/>
    <mergeCell ref="A120:A124"/>
    <mergeCell ref="B120:B124"/>
    <mergeCell ref="F120:F124"/>
    <mergeCell ref="L120:L124"/>
    <mergeCell ref="A125:A129"/>
    <mergeCell ref="B125:B129"/>
    <mergeCell ref="F125:F129"/>
    <mergeCell ref="L125:L129"/>
    <mergeCell ref="A110:A114"/>
    <mergeCell ref="B110:B114"/>
    <mergeCell ref="F110:F114"/>
    <mergeCell ref="L110:L114"/>
    <mergeCell ref="A115:A119"/>
    <mergeCell ref="B115:B119"/>
    <mergeCell ref="F115:F119"/>
    <mergeCell ref="L115:L119"/>
    <mergeCell ref="A100:A104"/>
    <mergeCell ref="B100:B104"/>
    <mergeCell ref="F100:F104"/>
    <mergeCell ref="L100:L104"/>
    <mergeCell ref="A105:A109"/>
    <mergeCell ref="B105:B109"/>
    <mergeCell ref="F105:F109"/>
    <mergeCell ref="L105:L109"/>
    <mergeCell ref="A90:A94"/>
    <mergeCell ref="B90:B94"/>
    <mergeCell ref="F90:F94"/>
    <mergeCell ref="L90:L94"/>
    <mergeCell ref="A95:A99"/>
    <mergeCell ref="B95:B99"/>
    <mergeCell ref="F95:F99"/>
    <mergeCell ref="L95:L99"/>
    <mergeCell ref="A80:A84"/>
    <mergeCell ref="B80:B84"/>
    <mergeCell ref="F80:F84"/>
    <mergeCell ref="L80:L84"/>
    <mergeCell ref="A85:A89"/>
    <mergeCell ref="B85:B89"/>
    <mergeCell ref="F85:F89"/>
    <mergeCell ref="L85:L89"/>
    <mergeCell ref="A70:A74"/>
    <mergeCell ref="B70:B74"/>
    <mergeCell ref="F70:F74"/>
    <mergeCell ref="L70:L74"/>
    <mergeCell ref="A75:A79"/>
    <mergeCell ref="B75:B79"/>
    <mergeCell ref="F75:F79"/>
    <mergeCell ref="L75:L79"/>
    <mergeCell ref="A58:M59"/>
    <mergeCell ref="A60:A64"/>
    <mergeCell ref="B60:B64"/>
    <mergeCell ref="F60:F64"/>
    <mergeCell ref="L60:L64"/>
    <mergeCell ref="A65:A69"/>
    <mergeCell ref="B65:B69"/>
    <mergeCell ref="F65:F69"/>
    <mergeCell ref="L65:L69"/>
    <mergeCell ref="A48:A52"/>
    <mergeCell ref="B48:B52"/>
    <mergeCell ref="F48:F52"/>
    <mergeCell ref="L48:L52"/>
    <mergeCell ref="A53:A57"/>
    <mergeCell ref="B53:B57"/>
    <mergeCell ref="F53:F57"/>
    <mergeCell ref="L53:L57"/>
    <mergeCell ref="A38:A42"/>
    <mergeCell ref="B38:B42"/>
    <mergeCell ref="F38:F42"/>
    <mergeCell ref="L38:L42"/>
    <mergeCell ref="A43:A47"/>
    <mergeCell ref="B43:B47"/>
    <mergeCell ref="F43:F47"/>
    <mergeCell ref="L43:L47"/>
    <mergeCell ref="A28:A32"/>
    <mergeCell ref="B28:B32"/>
    <mergeCell ref="F28:F32"/>
    <mergeCell ref="L28:L32"/>
    <mergeCell ref="A33:A37"/>
    <mergeCell ref="B33:B37"/>
    <mergeCell ref="F33:F37"/>
    <mergeCell ref="L33:L37"/>
    <mergeCell ref="A18:A22"/>
    <mergeCell ref="B18:B22"/>
    <mergeCell ref="F18:F22"/>
    <mergeCell ref="L18:L22"/>
    <mergeCell ref="A23:A27"/>
    <mergeCell ref="B23:B27"/>
    <mergeCell ref="F23:F27"/>
    <mergeCell ref="L23:L27"/>
    <mergeCell ref="A8:A12"/>
    <mergeCell ref="B8:B12"/>
    <mergeCell ref="F8:F12"/>
    <mergeCell ref="L8:L12"/>
    <mergeCell ref="A13:A17"/>
    <mergeCell ref="B13:B17"/>
    <mergeCell ref="F13:F17"/>
    <mergeCell ref="L13:L17"/>
    <mergeCell ref="B1:C1"/>
    <mergeCell ref="C2:D2"/>
    <mergeCell ref="E2:F2"/>
    <mergeCell ref="H2:I2"/>
    <mergeCell ref="K2:L2"/>
    <mergeCell ref="A3:A7"/>
    <mergeCell ref="B3:B7"/>
    <mergeCell ref="F3:F7"/>
    <mergeCell ref="L3:L7"/>
  </mergeCells>
  <conditionalFormatting sqref="D3:D57">
    <cfRule type="expression" dxfId="19" priority="1">
      <formula>"Is not empty and greater than zero"</formula>
    </cfRule>
  </conditionalFormatting>
  <conditionalFormatting sqref="D60:D129">
    <cfRule type="expression" dxfId="18" priority="3">
      <formula>"Is not empty and greater than zero"</formula>
    </cfRule>
  </conditionalFormatting>
  <conditionalFormatting sqref="D166:D255">
    <cfRule type="expression" dxfId="17" priority="2">
      <formula>"Is not empty and greater than zero"</formula>
    </cfRule>
  </conditionalFormatting>
  <conditionalFormatting sqref="E3:E57 E60:E129 K3:K57 K60:K129 E166:E245 K166:K245">
    <cfRule type="colorScale" priority="2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E246:E255 K246:K255">
    <cfRule type="colorScale" priority="1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3:G57">
    <cfRule type="cellIs" dxfId="16" priority="18" operator="greaterThan">
      <formula>0</formula>
    </cfRule>
    <cfRule type="cellIs" dxfId="15" priority="17" operator="greaterThan">
      <formula>0</formula>
    </cfRule>
  </conditionalFormatting>
  <conditionalFormatting sqref="G60:G129">
    <cfRule type="cellIs" dxfId="14" priority="15" operator="greaterThan">
      <formula>0</formula>
    </cfRule>
  </conditionalFormatting>
  <conditionalFormatting sqref="G60:G255">
    <cfRule type="cellIs" dxfId="13" priority="5" operator="greaterThan">
      <formula>0</formula>
    </cfRule>
  </conditionalFormatting>
  <conditionalFormatting sqref="G130:G165">
    <cfRule type="cellIs" dxfId="12" priority="21" operator="greaterThan">
      <formula>0</formula>
    </cfRule>
  </conditionalFormatting>
  <conditionalFormatting sqref="G166:G255">
    <cfRule type="cellIs" dxfId="11" priority="6" operator="greaterThan">
      <formula>0</formula>
    </cfRule>
  </conditionalFormatting>
  <conditionalFormatting sqref="I3:I57">
    <cfRule type="expression" dxfId="10" priority="14">
      <formula>"Is not empty and greater than zero"</formula>
    </cfRule>
  </conditionalFormatting>
  <conditionalFormatting sqref="I60:I129">
    <cfRule type="expression" dxfId="9" priority="13">
      <formula>"Is not empty and greater than zero"</formula>
    </cfRule>
  </conditionalFormatting>
  <conditionalFormatting sqref="I166:I255">
    <cfRule type="expression" dxfId="8" priority="4">
      <formula>"Is not empty and greater than zero"</formula>
    </cfRule>
  </conditionalFormatting>
  <conditionalFormatting sqref="J3:J57">
    <cfRule type="cellIs" dxfId="7" priority="19" operator="greaterThan">
      <formula>0</formula>
    </cfRule>
    <cfRule type="cellIs" dxfId="6" priority="20" operator="greaterThan">
      <formula>0</formula>
    </cfRule>
  </conditionalFormatting>
  <conditionalFormatting sqref="J60:J129">
    <cfRule type="cellIs" dxfId="5" priority="16" operator="greaterThan">
      <formula>0</formula>
    </cfRule>
  </conditionalFormatting>
  <conditionalFormatting sqref="J60:J255">
    <cfRule type="cellIs" dxfId="4" priority="7" operator="greaterThan">
      <formula>0</formula>
    </cfRule>
  </conditionalFormatting>
  <conditionalFormatting sqref="J130:J165">
    <cfRule type="cellIs" dxfId="3" priority="23" operator="greaterThan">
      <formula>0</formula>
    </cfRule>
  </conditionalFormatting>
  <conditionalFormatting sqref="J166:J255">
    <cfRule type="cellIs" dxfId="2" priority="8" operator="greaterThan">
      <formula>0</formula>
    </cfRule>
  </conditionalFormatting>
  <conditionalFormatting sqref="K3:L57 K60:L129">
    <cfRule type="expression" dxfId="1" priority="22">
      <formula>"Is not empty and greater than zero"</formula>
    </cfRule>
  </conditionalFormatting>
  <conditionalFormatting sqref="K166:L255">
    <cfRule type="expression" dxfId="0" priority="9">
      <formula>"Is not empty and greater than zero"</formula>
    </cfRule>
  </conditionalFormatting>
  <conditionalFormatting sqref="M3:M57 M60:M129 M166:M245">
    <cfRule type="colorScale" priority="26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M3:M57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60:M245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46:M255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8732A-7F3A-4A6C-B583-38F85BA451A8}">
  <dimension ref="A1:D254"/>
  <sheetViews>
    <sheetView topLeftCell="A121" workbookViewId="0">
      <selection activeCell="D159" sqref="D159:D161"/>
    </sheetView>
  </sheetViews>
  <sheetFormatPr defaultColWidth="12.64453125" defaultRowHeight="15" x14ac:dyDescent="0.2"/>
  <cols>
    <col min="1" max="1" width="11.296875" customWidth="1"/>
    <col min="2" max="2" width="34.03125" customWidth="1"/>
    <col min="3" max="3" width="12.9140625" customWidth="1"/>
    <col min="4" max="4" width="16.140625" customWidth="1"/>
    <col min="5" max="24" width="11.296875" customWidth="1"/>
    <col min="25" max="26" width="14.2578125" customWidth="1"/>
  </cols>
  <sheetData>
    <row r="1" spans="1:4" ht="45.75" customHeight="1" x14ac:dyDescent="0.2">
      <c r="A1" s="24" t="s">
        <v>71</v>
      </c>
      <c r="B1" s="25" t="s">
        <v>72</v>
      </c>
      <c r="C1" s="25" t="s">
        <v>73</v>
      </c>
      <c r="D1" s="25" t="s">
        <v>74</v>
      </c>
    </row>
    <row r="2" spans="1:4" ht="15.75" customHeight="1" x14ac:dyDescent="0.2">
      <c r="A2" s="49">
        <v>1</v>
      </c>
      <c r="B2" s="81" t="s">
        <v>9</v>
      </c>
      <c r="C2" s="18" t="s">
        <v>10</v>
      </c>
      <c r="D2" s="26"/>
    </row>
    <row r="3" spans="1:4" ht="15.75" customHeight="1" x14ac:dyDescent="0.2">
      <c r="A3" s="79"/>
      <c r="B3" s="79"/>
      <c r="C3" s="18" t="s">
        <v>11</v>
      </c>
      <c r="D3" s="26">
        <v>13420</v>
      </c>
    </row>
    <row r="4" spans="1:4" ht="15.75" customHeight="1" x14ac:dyDescent="0.2">
      <c r="A4" s="79"/>
      <c r="B4" s="79"/>
      <c r="C4" s="18" t="s">
        <v>12</v>
      </c>
      <c r="D4" s="26"/>
    </row>
    <row r="5" spans="1:4" ht="15.75" customHeight="1" x14ac:dyDescent="0.2">
      <c r="A5" s="79"/>
      <c r="B5" s="79"/>
      <c r="C5" s="18" t="s">
        <v>13</v>
      </c>
      <c r="D5" s="26"/>
    </row>
    <row r="6" spans="1:4" ht="15.75" customHeight="1" x14ac:dyDescent="0.2">
      <c r="A6" s="80"/>
      <c r="B6" s="80"/>
      <c r="C6" s="18" t="s">
        <v>14</v>
      </c>
      <c r="D6" s="26"/>
    </row>
    <row r="7" spans="1:4" ht="15.75" customHeight="1" x14ac:dyDescent="0.2">
      <c r="A7" s="49">
        <v>2</v>
      </c>
      <c r="B7" s="81" t="s">
        <v>15</v>
      </c>
      <c r="C7" s="18" t="s">
        <v>10</v>
      </c>
      <c r="D7" s="26">
        <v>6720</v>
      </c>
    </row>
    <row r="8" spans="1:4" ht="15.75" customHeight="1" x14ac:dyDescent="0.2">
      <c r="A8" s="79"/>
      <c r="B8" s="79"/>
      <c r="C8" s="18" t="s">
        <v>11</v>
      </c>
      <c r="D8" s="26"/>
    </row>
    <row r="9" spans="1:4" ht="15.75" customHeight="1" x14ac:dyDescent="0.2">
      <c r="A9" s="79"/>
      <c r="B9" s="79"/>
      <c r="C9" s="18" t="s">
        <v>12</v>
      </c>
      <c r="D9" s="26">
        <v>6600</v>
      </c>
    </row>
    <row r="10" spans="1:4" ht="15.75" customHeight="1" x14ac:dyDescent="0.2">
      <c r="A10" s="79"/>
      <c r="B10" s="79"/>
      <c r="C10" s="18" t="s">
        <v>13</v>
      </c>
      <c r="D10" s="26"/>
    </row>
    <row r="11" spans="1:4" ht="15.75" customHeight="1" x14ac:dyDescent="0.2">
      <c r="A11" s="80"/>
      <c r="B11" s="80"/>
      <c r="C11" s="18" t="s">
        <v>14</v>
      </c>
      <c r="D11" s="26"/>
    </row>
    <row r="12" spans="1:4" ht="15.75" customHeight="1" x14ac:dyDescent="0.2">
      <c r="A12" s="49">
        <v>3</v>
      </c>
      <c r="B12" s="81" t="s">
        <v>16</v>
      </c>
      <c r="C12" s="18" t="s">
        <v>10</v>
      </c>
      <c r="D12" s="26">
        <v>6420</v>
      </c>
    </row>
    <row r="13" spans="1:4" ht="15.75" customHeight="1" x14ac:dyDescent="0.2">
      <c r="A13" s="79"/>
      <c r="B13" s="79"/>
      <c r="C13" s="18" t="s">
        <v>11</v>
      </c>
      <c r="D13" s="26">
        <v>7160</v>
      </c>
    </row>
    <row r="14" spans="1:4" ht="15.75" customHeight="1" x14ac:dyDescent="0.2">
      <c r="A14" s="79"/>
      <c r="B14" s="79"/>
      <c r="C14" s="18" t="s">
        <v>12</v>
      </c>
      <c r="D14" s="26">
        <v>6500</v>
      </c>
    </row>
    <row r="15" spans="1:4" ht="15.75" customHeight="1" x14ac:dyDescent="0.2">
      <c r="A15" s="79"/>
      <c r="B15" s="79"/>
      <c r="C15" s="18" t="s">
        <v>13</v>
      </c>
      <c r="D15" s="26">
        <v>7000</v>
      </c>
    </row>
    <row r="16" spans="1:4" ht="15.75" customHeight="1" x14ac:dyDescent="0.2">
      <c r="A16" s="80"/>
      <c r="B16" s="80"/>
      <c r="C16" s="18" t="s">
        <v>14</v>
      </c>
      <c r="D16" s="26"/>
    </row>
    <row r="17" spans="1:4" ht="15.75" customHeight="1" x14ac:dyDescent="0.2">
      <c r="A17" s="49">
        <v>4</v>
      </c>
      <c r="B17" s="81" t="s">
        <v>17</v>
      </c>
      <c r="C17" s="18" t="s">
        <v>10</v>
      </c>
      <c r="D17" s="26">
        <v>8240</v>
      </c>
    </row>
    <row r="18" spans="1:4" ht="15.75" customHeight="1" x14ac:dyDescent="0.2">
      <c r="A18" s="79"/>
      <c r="B18" s="79"/>
      <c r="C18" s="18" t="s">
        <v>11</v>
      </c>
      <c r="D18" s="26">
        <v>10520</v>
      </c>
    </row>
    <row r="19" spans="1:4" ht="15.75" customHeight="1" x14ac:dyDescent="0.2">
      <c r="A19" s="79"/>
      <c r="B19" s="79"/>
      <c r="C19" s="18" t="s">
        <v>12</v>
      </c>
      <c r="D19" s="26">
        <v>8640</v>
      </c>
    </row>
    <row r="20" spans="1:4" ht="15.75" customHeight="1" x14ac:dyDescent="0.2">
      <c r="A20" s="79"/>
      <c r="B20" s="79"/>
      <c r="C20" s="18" t="s">
        <v>13</v>
      </c>
      <c r="D20" s="26">
        <v>10620</v>
      </c>
    </row>
    <row r="21" spans="1:4" ht="15.75" customHeight="1" x14ac:dyDescent="0.2">
      <c r="A21" s="80"/>
      <c r="B21" s="80"/>
      <c r="C21" s="18" t="s">
        <v>14</v>
      </c>
      <c r="D21" s="26"/>
    </row>
    <row r="22" spans="1:4" ht="15.75" customHeight="1" x14ac:dyDescent="0.2">
      <c r="A22" s="49">
        <v>5</v>
      </c>
      <c r="B22" s="81" t="s">
        <v>18</v>
      </c>
      <c r="C22" s="18" t="s">
        <v>10</v>
      </c>
      <c r="D22" s="26">
        <v>6620</v>
      </c>
    </row>
    <row r="23" spans="1:4" ht="15.75" customHeight="1" x14ac:dyDescent="0.2">
      <c r="A23" s="79"/>
      <c r="B23" s="79"/>
      <c r="C23" s="18" t="s">
        <v>11</v>
      </c>
      <c r="D23" s="26"/>
    </row>
    <row r="24" spans="1:4" ht="15.75" customHeight="1" x14ac:dyDescent="0.2">
      <c r="A24" s="79"/>
      <c r="B24" s="79"/>
      <c r="C24" s="18" t="s">
        <v>12</v>
      </c>
      <c r="D24" s="26">
        <v>6500</v>
      </c>
    </row>
    <row r="25" spans="1:4" ht="15.75" customHeight="1" x14ac:dyDescent="0.2">
      <c r="A25" s="79"/>
      <c r="B25" s="79"/>
      <c r="C25" s="18" t="s">
        <v>13</v>
      </c>
      <c r="D25" s="26">
        <v>6900</v>
      </c>
    </row>
    <row r="26" spans="1:4" ht="15.75" customHeight="1" x14ac:dyDescent="0.2">
      <c r="A26" s="80"/>
      <c r="B26" s="80"/>
      <c r="C26" s="18" t="s">
        <v>14</v>
      </c>
      <c r="D26" s="26"/>
    </row>
    <row r="27" spans="1:4" ht="15.75" customHeight="1" x14ac:dyDescent="0.2">
      <c r="A27" s="49">
        <v>6</v>
      </c>
      <c r="B27" s="81" t="s">
        <v>19</v>
      </c>
      <c r="C27" s="18" t="s">
        <v>10</v>
      </c>
      <c r="D27" s="26">
        <v>7420</v>
      </c>
    </row>
    <row r="28" spans="1:4" ht="15.75" customHeight="1" x14ac:dyDescent="0.2">
      <c r="A28" s="79"/>
      <c r="B28" s="79"/>
      <c r="C28" s="18" t="s">
        <v>11</v>
      </c>
      <c r="D28" s="26">
        <v>7960</v>
      </c>
    </row>
    <row r="29" spans="1:4" ht="15.75" customHeight="1" x14ac:dyDescent="0.2">
      <c r="A29" s="79"/>
      <c r="B29" s="79"/>
      <c r="C29" s="18" t="s">
        <v>12</v>
      </c>
      <c r="D29" s="26">
        <v>7600</v>
      </c>
    </row>
    <row r="30" spans="1:4" ht="15.75" customHeight="1" x14ac:dyDescent="0.2">
      <c r="A30" s="79"/>
      <c r="B30" s="79"/>
      <c r="C30" s="18" t="s">
        <v>13</v>
      </c>
      <c r="D30" s="26"/>
    </row>
    <row r="31" spans="1:4" ht="15.75" customHeight="1" x14ac:dyDescent="0.2">
      <c r="A31" s="80"/>
      <c r="B31" s="80"/>
      <c r="C31" s="18" t="s">
        <v>14</v>
      </c>
      <c r="D31" s="26"/>
    </row>
    <row r="32" spans="1:4" ht="15.75" customHeight="1" x14ac:dyDescent="0.2">
      <c r="A32" s="49">
        <v>7</v>
      </c>
      <c r="B32" s="81" t="s">
        <v>20</v>
      </c>
      <c r="C32" s="18" t="s">
        <v>10</v>
      </c>
      <c r="D32" s="26">
        <v>6720</v>
      </c>
    </row>
    <row r="33" spans="1:4" ht="15.75" customHeight="1" x14ac:dyDescent="0.2">
      <c r="A33" s="79"/>
      <c r="B33" s="79"/>
      <c r="C33" s="18" t="s">
        <v>11</v>
      </c>
      <c r="D33" s="26"/>
    </row>
    <row r="34" spans="1:4" ht="15.75" customHeight="1" x14ac:dyDescent="0.2">
      <c r="A34" s="79"/>
      <c r="B34" s="79"/>
      <c r="C34" s="18" t="s">
        <v>12</v>
      </c>
      <c r="D34" s="26">
        <v>6600</v>
      </c>
    </row>
    <row r="35" spans="1:4" ht="15.75" customHeight="1" x14ac:dyDescent="0.2">
      <c r="A35" s="79"/>
      <c r="B35" s="79"/>
      <c r="C35" s="18" t="s">
        <v>13</v>
      </c>
      <c r="D35" s="26">
        <v>7100</v>
      </c>
    </row>
    <row r="36" spans="1:4" ht="15.75" customHeight="1" x14ac:dyDescent="0.2">
      <c r="A36" s="80"/>
      <c r="B36" s="80"/>
      <c r="C36" s="18" t="s">
        <v>14</v>
      </c>
      <c r="D36" s="26"/>
    </row>
    <row r="37" spans="1:4" ht="15.75" customHeight="1" x14ac:dyDescent="0.2">
      <c r="A37" s="49">
        <v>8</v>
      </c>
      <c r="B37" s="81" t="s">
        <v>21</v>
      </c>
      <c r="C37" s="18" t="s">
        <v>10</v>
      </c>
      <c r="D37" s="26">
        <v>7520</v>
      </c>
    </row>
    <row r="38" spans="1:4" ht="15.75" customHeight="1" x14ac:dyDescent="0.2">
      <c r="A38" s="79"/>
      <c r="B38" s="79"/>
      <c r="C38" s="18" t="s">
        <v>11</v>
      </c>
      <c r="D38" s="26">
        <v>8260</v>
      </c>
    </row>
    <row r="39" spans="1:4" ht="15.75" customHeight="1" x14ac:dyDescent="0.2">
      <c r="A39" s="79"/>
      <c r="B39" s="79"/>
      <c r="C39" s="18" t="s">
        <v>12</v>
      </c>
      <c r="D39" s="26">
        <v>7500</v>
      </c>
    </row>
    <row r="40" spans="1:4" ht="15.75" customHeight="1" x14ac:dyDescent="0.2">
      <c r="A40" s="79"/>
      <c r="B40" s="79"/>
      <c r="C40" s="18" t="s">
        <v>13</v>
      </c>
      <c r="D40" s="26">
        <v>8500</v>
      </c>
    </row>
    <row r="41" spans="1:4" ht="15.75" customHeight="1" x14ac:dyDescent="0.2">
      <c r="A41" s="80"/>
      <c r="B41" s="80"/>
      <c r="C41" s="18" t="s">
        <v>14</v>
      </c>
      <c r="D41" s="26"/>
    </row>
    <row r="42" spans="1:4" ht="15.75" customHeight="1" x14ac:dyDescent="0.2">
      <c r="A42" s="49">
        <v>9</v>
      </c>
      <c r="B42" s="81" t="s">
        <v>22</v>
      </c>
      <c r="C42" s="18" t="s">
        <v>10</v>
      </c>
      <c r="D42" s="26">
        <v>6020</v>
      </c>
    </row>
    <row r="43" spans="1:4" ht="15.75" customHeight="1" x14ac:dyDescent="0.2">
      <c r="A43" s="79"/>
      <c r="B43" s="79"/>
      <c r="C43" s="18" t="s">
        <v>11</v>
      </c>
      <c r="D43" s="26"/>
    </row>
    <row r="44" spans="1:4" ht="15.75" customHeight="1" x14ac:dyDescent="0.2">
      <c r="A44" s="79"/>
      <c r="B44" s="79"/>
      <c r="C44" s="18" t="s">
        <v>12</v>
      </c>
      <c r="D44" s="26">
        <v>6300</v>
      </c>
    </row>
    <row r="45" spans="1:4" ht="15.75" customHeight="1" x14ac:dyDescent="0.2">
      <c r="A45" s="79"/>
      <c r="B45" s="79"/>
      <c r="C45" s="18" t="s">
        <v>13</v>
      </c>
      <c r="D45" s="26">
        <v>7100</v>
      </c>
    </row>
    <row r="46" spans="1:4" ht="15.75" customHeight="1" x14ac:dyDescent="0.2">
      <c r="A46" s="80"/>
      <c r="B46" s="80"/>
      <c r="C46" s="18" t="s">
        <v>14</v>
      </c>
      <c r="D46" s="26"/>
    </row>
    <row r="47" spans="1:4" ht="15.75" customHeight="1" x14ac:dyDescent="0.2">
      <c r="A47" s="49">
        <v>10</v>
      </c>
      <c r="B47" s="81" t="s">
        <v>23</v>
      </c>
      <c r="C47" s="18" t="s">
        <v>10</v>
      </c>
      <c r="D47" s="26">
        <v>6720</v>
      </c>
    </row>
    <row r="48" spans="1:4" ht="15.75" customHeight="1" x14ac:dyDescent="0.2">
      <c r="A48" s="79"/>
      <c r="B48" s="79"/>
      <c r="C48" s="18" t="s">
        <v>11</v>
      </c>
      <c r="D48" s="26">
        <v>6800</v>
      </c>
    </row>
    <row r="49" spans="1:4" ht="15.75" customHeight="1" x14ac:dyDescent="0.2">
      <c r="A49" s="79"/>
      <c r="B49" s="79"/>
      <c r="C49" s="18" t="s">
        <v>12</v>
      </c>
      <c r="D49" s="26">
        <v>6900</v>
      </c>
    </row>
    <row r="50" spans="1:4" ht="15.75" customHeight="1" x14ac:dyDescent="0.2">
      <c r="A50" s="79"/>
      <c r="B50" s="79"/>
      <c r="C50" s="18" t="s">
        <v>13</v>
      </c>
      <c r="D50" s="26">
        <v>7500</v>
      </c>
    </row>
    <row r="51" spans="1:4" ht="15.75" customHeight="1" x14ac:dyDescent="0.2">
      <c r="A51" s="80"/>
      <c r="B51" s="80"/>
      <c r="C51" s="18" t="s">
        <v>14</v>
      </c>
      <c r="D51" s="26"/>
    </row>
    <row r="52" spans="1:4" ht="15.75" customHeight="1" x14ac:dyDescent="0.2">
      <c r="A52" s="49">
        <v>11</v>
      </c>
      <c r="B52" s="81" t="s">
        <v>75</v>
      </c>
      <c r="C52" s="18" t="s">
        <v>10</v>
      </c>
      <c r="D52" s="26"/>
    </row>
    <row r="53" spans="1:4" ht="15.75" customHeight="1" x14ac:dyDescent="0.2">
      <c r="A53" s="79"/>
      <c r="B53" s="79"/>
      <c r="C53" s="18" t="s">
        <v>11</v>
      </c>
      <c r="D53" s="26">
        <v>13620</v>
      </c>
    </row>
    <row r="54" spans="1:4" ht="15.75" customHeight="1" x14ac:dyDescent="0.2">
      <c r="A54" s="79"/>
      <c r="B54" s="79"/>
      <c r="C54" s="18" t="s">
        <v>12</v>
      </c>
      <c r="D54" s="26"/>
    </row>
    <row r="55" spans="1:4" ht="15.75" customHeight="1" x14ac:dyDescent="0.2">
      <c r="A55" s="79"/>
      <c r="B55" s="79"/>
      <c r="C55" s="18" t="s">
        <v>13</v>
      </c>
      <c r="D55" s="26">
        <v>13720</v>
      </c>
    </row>
    <row r="56" spans="1:4" ht="15.75" customHeight="1" x14ac:dyDescent="0.2">
      <c r="A56" s="80"/>
      <c r="B56" s="80"/>
      <c r="C56" s="18" t="s">
        <v>14</v>
      </c>
      <c r="D56" s="26"/>
    </row>
    <row r="57" spans="1:4" ht="15.75" customHeight="1" x14ac:dyDescent="0.2">
      <c r="A57" s="51"/>
      <c r="B57" s="47"/>
      <c r="C57" s="47"/>
      <c r="D57" s="82"/>
    </row>
    <row r="58" spans="1:4" ht="15.75" customHeight="1" x14ac:dyDescent="0.2">
      <c r="A58" s="83"/>
      <c r="B58" s="48"/>
      <c r="C58" s="48"/>
      <c r="D58" s="84"/>
    </row>
    <row r="59" spans="1:4" ht="15.75" customHeight="1" x14ac:dyDescent="0.2">
      <c r="A59" s="49">
        <v>12</v>
      </c>
      <c r="B59" s="81" t="s">
        <v>25</v>
      </c>
      <c r="C59" s="18" t="s">
        <v>10</v>
      </c>
      <c r="D59" s="26"/>
    </row>
    <row r="60" spans="1:4" ht="15.75" customHeight="1" x14ac:dyDescent="0.2">
      <c r="A60" s="79"/>
      <c r="B60" s="79"/>
      <c r="C60" s="18" t="s">
        <v>11</v>
      </c>
      <c r="D60" s="26"/>
    </row>
    <row r="61" spans="1:4" ht="15.75" customHeight="1" x14ac:dyDescent="0.2">
      <c r="A61" s="79"/>
      <c r="B61" s="79"/>
      <c r="C61" s="18" t="s">
        <v>12</v>
      </c>
      <c r="D61" s="26">
        <v>6100</v>
      </c>
    </row>
    <row r="62" spans="1:4" ht="15.75" customHeight="1" x14ac:dyDescent="0.2">
      <c r="A62" s="79"/>
      <c r="B62" s="79"/>
      <c r="C62" s="18" t="s">
        <v>13</v>
      </c>
      <c r="D62" s="26"/>
    </row>
    <row r="63" spans="1:4" ht="15.75" customHeight="1" x14ac:dyDescent="0.2">
      <c r="A63" s="80"/>
      <c r="B63" s="80"/>
      <c r="C63" s="18" t="s">
        <v>14</v>
      </c>
      <c r="D63" s="26"/>
    </row>
    <row r="64" spans="1:4" ht="15.75" customHeight="1" x14ac:dyDescent="0.2">
      <c r="A64" s="49">
        <v>13</v>
      </c>
      <c r="B64" s="81" t="s">
        <v>26</v>
      </c>
      <c r="C64" s="18" t="s">
        <v>10</v>
      </c>
      <c r="D64" s="26">
        <v>8240</v>
      </c>
    </row>
    <row r="65" spans="1:4" ht="15.75" customHeight="1" x14ac:dyDescent="0.2">
      <c r="A65" s="79"/>
      <c r="B65" s="79"/>
      <c r="C65" s="18" t="s">
        <v>11</v>
      </c>
      <c r="D65" s="26">
        <v>10420</v>
      </c>
    </row>
    <row r="66" spans="1:4" ht="15.75" customHeight="1" x14ac:dyDescent="0.2">
      <c r="A66" s="79"/>
      <c r="B66" s="79"/>
      <c r="C66" s="18" t="s">
        <v>12</v>
      </c>
      <c r="D66" s="26">
        <v>8640</v>
      </c>
    </row>
    <row r="67" spans="1:4" ht="15.75" customHeight="1" x14ac:dyDescent="0.2">
      <c r="A67" s="79"/>
      <c r="B67" s="79"/>
      <c r="C67" s="18" t="s">
        <v>13</v>
      </c>
      <c r="D67" s="26">
        <v>10300</v>
      </c>
    </row>
    <row r="68" spans="1:4" ht="15.75" customHeight="1" x14ac:dyDescent="0.2">
      <c r="A68" s="80"/>
      <c r="B68" s="80"/>
      <c r="C68" s="18" t="s">
        <v>14</v>
      </c>
      <c r="D68" s="26"/>
    </row>
    <row r="69" spans="1:4" ht="15.75" customHeight="1" x14ac:dyDescent="0.2">
      <c r="A69" s="49">
        <v>14</v>
      </c>
      <c r="B69" s="81" t="s">
        <v>27</v>
      </c>
      <c r="C69" s="18" t="s">
        <v>10</v>
      </c>
      <c r="D69" s="26">
        <v>10140</v>
      </c>
    </row>
    <row r="70" spans="1:4" ht="15.75" customHeight="1" x14ac:dyDescent="0.2">
      <c r="A70" s="79"/>
      <c r="B70" s="79"/>
      <c r="C70" s="18" t="s">
        <v>11</v>
      </c>
      <c r="D70" s="26">
        <v>11120</v>
      </c>
    </row>
    <row r="71" spans="1:4" ht="15.75" customHeight="1" x14ac:dyDescent="0.2">
      <c r="A71" s="79"/>
      <c r="B71" s="79"/>
      <c r="C71" s="18" t="s">
        <v>12</v>
      </c>
      <c r="D71" s="26"/>
    </row>
    <row r="72" spans="1:4" ht="15.75" customHeight="1" x14ac:dyDescent="0.2">
      <c r="A72" s="79"/>
      <c r="B72" s="79"/>
      <c r="C72" s="18" t="s">
        <v>13</v>
      </c>
      <c r="D72" s="26"/>
    </row>
    <row r="73" spans="1:4" ht="15.75" customHeight="1" x14ac:dyDescent="0.2">
      <c r="A73" s="80"/>
      <c r="B73" s="80"/>
      <c r="C73" s="18" t="s">
        <v>14</v>
      </c>
      <c r="D73" s="26"/>
    </row>
    <row r="74" spans="1:4" ht="15.75" customHeight="1" x14ac:dyDescent="0.2">
      <c r="A74" s="49">
        <v>15</v>
      </c>
      <c r="B74" s="81" t="s">
        <v>28</v>
      </c>
      <c r="C74" s="18" t="s">
        <v>10</v>
      </c>
      <c r="D74" s="26"/>
    </row>
    <row r="75" spans="1:4" ht="15.75" customHeight="1" x14ac:dyDescent="0.2">
      <c r="A75" s="79"/>
      <c r="B75" s="79"/>
      <c r="C75" s="18" t="s">
        <v>11</v>
      </c>
      <c r="D75" s="26">
        <v>8460</v>
      </c>
    </row>
    <row r="76" spans="1:4" ht="15.75" customHeight="1" x14ac:dyDescent="0.2">
      <c r="A76" s="79"/>
      <c r="B76" s="79"/>
      <c r="C76" s="18" t="s">
        <v>12</v>
      </c>
      <c r="D76" s="26">
        <v>7600</v>
      </c>
    </row>
    <row r="77" spans="1:4" ht="15.75" customHeight="1" x14ac:dyDescent="0.2">
      <c r="A77" s="79"/>
      <c r="B77" s="79"/>
      <c r="C77" s="18" t="s">
        <v>13</v>
      </c>
      <c r="D77" s="26">
        <v>8500</v>
      </c>
    </row>
    <row r="78" spans="1:4" ht="15.75" customHeight="1" x14ac:dyDescent="0.2">
      <c r="A78" s="80"/>
      <c r="B78" s="80"/>
      <c r="C78" s="18" t="s">
        <v>14</v>
      </c>
      <c r="D78" s="26"/>
    </row>
    <row r="79" spans="1:4" ht="15.75" customHeight="1" x14ac:dyDescent="0.2">
      <c r="A79" s="49">
        <v>16</v>
      </c>
      <c r="B79" s="81" t="s">
        <v>76</v>
      </c>
      <c r="C79" s="18" t="s">
        <v>10</v>
      </c>
      <c r="D79" s="26">
        <v>8140</v>
      </c>
    </row>
    <row r="80" spans="1:4" ht="15.75" customHeight="1" x14ac:dyDescent="0.2">
      <c r="A80" s="79"/>
      <c r="B80" s="79"/>
      <c r="C80" s="18" t="s">
        <v>11</v>
      </c>
      <c r="D80" s="26">
        <v>9660</v>
      </c>
    </row>
    <row r="81" spans="1:4" ht="15.75" customHeight="1" x14ac:dyDescent="0.2">
      <c r="A81" s="79"/>
      <c r="B81" s="79"/>
      <c r="C81" s="18" t="s">
        <v>12</v>
      </c>
      <c r="D81" s="26">
        <v>8740</v>
      </c>
    </row>
    <row r="82" spans="1:4" ht="15.75" customHeight="1" x14ac:dyDescent="0.2">
      <c r="A82" s="79"/>
      <c r="B82" s="79"/>
      <c r="C82" s="18" t="s">
        <v>13</v>
      </c>
      <c r="D82" s="26">
        <v>9700</v>
      </c>
    </row>
    <row r="83" spans="1:4" ht="15.75" customHeight="1" x14ac:dyDescent="0.2">
      <c r="A83" s="80"/>
      <c r="B83" s="80"/>
      <c r="C83" s="18" t="s">
        <v>14</v>
      </c>
      <c r="D83" s="26"/>
    </row>
    <row r="84" spans="1:4" ht="15.75" customHeight="1" x14ac:dyDescent="0.2">
      <c r="A84" s="49">
        <v>17</v>
      </c>
      <c r="B84" s="81" t="s">
        <v>30</v>
      </c>
      <c r="C84" s="18" t="s">
        <v>10</v>
      </c>
      <c r="D84" s="26">
        <v>7500</v>
      </c>
    </row>
    <row r="85" spans="1:4" ht="15.75" customHeight="1" x14ac:dyDescent="0.2">
      <c r="A85" s="79"/>
      <c r="B85" s="79"/>
      <c r="C85" s="18" t="s">
        <v>11</v>
      </c>
      <c r="D85" s="26"/>
    </row>
    <row r="86" spans="1:4" ht="15.75" customHeight="1" x14ac:dyDescent="0.2">
      <c r="A86" s="79"/>
      <c r="B86" s="79"/>
      <c r="C86" s="18" t="s">
        <v>12</v>
      </c>
      <c r="D86" s="26">
        <v>6800</v>
      </c>
    </row>
    <row r="87" spans="1:4" ht="15.75" customHeight="1" x14ac:dyDescent="0.2">
      <c r="A87" s="79"/>
      <c r="B87" s="79"/>
      <c r="C87" s="18" t="s">
        <v>13</v>
      </c>
      <c r="D87" s="26"/>
    </row>
    <row r="88" spans="1:4" ht="15.75" customHeight="1" x14ac:dyDescent="0.2">
      <c r="A88" s="80"/>
      <c r="B88" s="80"/>
      <c r="C88" s="18" t="s">
        <v>14</v>
      </c>
      <c r="D88" s="26"/>
    </row>
    <row r="89" spans="1:4" ht="15.75" customHeight="1" x14ac:dyDescent="0.2">
      <c r="A89" s="49">
        <v>18</v>
      </c>
      <c r="B89" s="81" t="s">
        <v>31</v>
      </c>
      <c r="C89" s="18" t="s">
        <v>10</v>
      </c>
      <c r="D89" s="26"/>
    </row>
    <row r="90" spans="1:4" ht="15.75" customHeight="1" x14ac:dyDescent="0.2">
      <c r="A90" s="79"/>
      <c r="B90" s="79"/>
      <c r="C90" s="18" t="s">
        <v>11</v>
      </c>
      <c r="D90" s="26">
        <v>14820</v>
      </c>
    </row>
    <row r="91" spans="1:4" ht="15.75" customHeight="1" x14ac:dyDescent="0.2">
      <c r="A91" s="79"/>
      <c r="B91" s="79"/>
      <c r="C91" s="18" t="s">
        <v>12</v>
      </c>
      <c r="D91" s="26"/>
    </row>
    <row r="92" spans="1:4" ht="15.75" customHeight="1" x14ac:dyDescent="0.2">
      <c r="A92" s="79"/>
      <c r="B92" s="79"/>
      <c r="C92" s="18" t="s">
        <v>13</v>
      </c>
      <c r="D92" s="26"/>
    </row>
    <row r="93" spans="1:4" ht="15.75" customHeight="1" x14ac:dyDescent="0.2">
      <c r="A93" s="80"/>
      <c r="B93" s="80"/>
      <c r="C93" s="18" t="s">
        <v>14</v>
      </c>
      <c r="D93" s="26"/>
    </row>
    <row r="94" spans="1:4" ht="15.75" customHeight="1" x14ac:dyDescent="0.2">
      <c r="A94" s="49">
        <v>19</v>
      </c>
      <c r="B94" s="81" t="s">
        <v>32</v>
      </c>
      <c r="C94" s="18" t="s">
        <v>10</v>
      </c>
      <c r="D94" s="26"/>
    </row>
    <row r="95" spans="1:4" ht="15.75" customHeight="1" x14ac:dyDescent="0.2">
      <c r="A95" s="79"/>
      <c r="B95" s="79"/>
      <c r="C95" s="18" t="s">
        <v>11</v>
      </c>
      <c r="D95" s="26">
        <v>2300</v>
      </c>
    </row>
    <row r="96" spans="1:4" ht="15.75" customHeight="1" x14ac:dyDescent="0.2">
      <c r="A96" s="79"/>
      <c r="B96" s="79"/>
      <c r="C96" s="18" t="s">
        <v>12</v>
      </c>
      <c r="D96" s="26"/>
    </row>
    <row r="97" spans="1:4" ht="15.75" customHeight="1" x14ac:dyDescent="0.2">
      <c r="A97" s="79"/>
      <c r="B97" s="79"/>
      <c r="C97" s="18" t="s">
        <v>13</v>
      </c>
      <c r="D97" s="26">
        <v>2600</v>
      </c>
    </row>
    <row r="98" spans="1:4" ht="15.75" customHeight="1" x14ac:dyDescent="0.2">
      <c r="A98" s="80"/>
      <c r="B98" s="80"/>
      <c r="C98" s="18" t="s">
        <v>14</v>
      </c>
      <c r="D98" s="26"/>
    </row>
    <row r="99" spans="1:4" ht="15.75" customHeight="1" x14ac:dyDescent="0.2">
      <c r="A99" s="49">
        <v>20</v>
      </c>
      <c r="B99" s="81" t="s">
        <v>33</v>
      </c>
      <c r="C99" s="18" t="s">
        <v>10</v>
      </c>
      <c r="D99" s="26">
        <v>6220</v>
      </c>
    </row>
    <row r="100" spans="1:4" ht="15.75" customHeight="1" x14ac:dyDescent="0.2">
      <c r="A100" s="79"/>
      <c r="B100" s="79"/>
      <c r="C100" s="18" t="s">
        <v>11</v>
      </c>
      <c r="D100" s="26">
        <v>6660</v>
      </c>
    </row>
    <row r="101" spans="1:4" ht="15.75" customHeight="1" x14ac:dyDescent="0.2">
      <c r="A101" s="79"/>
      <c r="B101" s="79"/>
      <c r="C101" s="18" t="s">
        <v>12</v>
      </c>
      <c r="D101" s="26">
        <v>6200</v>
      </c>
    </row>
    <row r="102" spans="1:4" ht="15.75" customHeight="1" x14ac:dyDescent="0.2">
      <c r="A102" s="79"/>
      <c r="B102" s="79"/>
      <c r="C102" s="18" t="s">
        <v>13</v>
      </c>
      <c r="D102" s="26">
        <v>6440</v>
      </c>
    </row>
    <row r="103" spans="1:4" ht="15.75" customHeight="1" x14ac:dyDescent="0.2">
      <c r="A103" s="80"/>
      <c r="B103" s="80"/>
      <c r="C103" s="18" t="s">
        <v>14</v>
      </c>
      <c r="D103" s="26"/>
    </row>
    <row r="104" spans="1:4" ht="15.75" customHeight="1" x14ac:dyDescent="0.2">
      <c r="A104" s="49">
        <v>21</v>
      </c>
      <c r="B104" s="81" t="s">
        <v>34</v>
      </c>
      <c r="C104" s="18" t="s">
        <v>10</v>
      </c>
      <c r="D104" s="26">
        <v>5820</v>
      </c>
    </row>
    <row r="105" spans="1:4" ht="15.75" customHeight="1" x14ac:dyDescent="0.2">
      <c r="A105" s="79"/>
      <c r="B105" s="79"/>
      <c r="C105" s="18" t="s">
        <v>11</v>
      </c>
      <c r="D105" s="26"/>
    </row>
    <row r="106" spans="1:4" ht="15.75" customHeight="1" x14ac:dyDescent="0.2">
      <c r="A106" s="79"/>
      <c r="B106" s="79"/>
      <c r="C106" s="18" t="s">
        <v>12</v>
      </c>
      <c r="D106" s="26">
        <v>6700</v>
      </c>
    </row>
    <row r="107" spans="1:4" ht="15.75" customHeight="1" x14ac:dyDescent="0.2">
      <c r="A107" s="79"/>
      <c r="B107" s="79"/>
      <c r="C107" s="18" t="s">
        <v>13</v>
      </c>
      <c r="D107" s="26">
        <v>6200</v>
      </c>
    </row>
    <row r="108" spans="1:4" ht="15.75" customHeight="1" x14ac:dyDescent="0.2">
      <c r="A108" s="80"/>
      <c r="B108" s="80"/>
      <c r="C108" s="18" t="s">
        <v>14</v>
      </c>
      <c r="D108" s="26"/>
    </row>
    <row r="109" spans="1:4" ht="15.75" customHeight="1" x14ac:dyDescent="0.2">
      <c r="A109" s="49">
        <v>22</v>
      </c>
      <c r="B109" s="81" t="s">
        <v>35</v>
      </c>
      <c r="C109" s="18" t="s">
        <v>10</v>
      </c>
      <c r="D109" s="26"/>
    </row>
    <row r="110" spans="1:4" ht="15.75" customHeight="1" x14ac:dyDescent="0.2">
      <c r="A110" s="79"/>
      <c r="B110" s="79"/>
      <c r="C110" s="18" t="s">
        <v>11</v>
      </c>
      <c r="D110" s="26">
        <v>15820</v>
      </c>
    </row>
    <row r="111" spans="1:4" ht="15.75" customHeight="1" x14ac:dyDescent="0.2">
      <c r="A111" s="79"/>
      <c r="B111" s="79"/>
      <c r="C111" s="18" t="s">
        <v>12</v>
      </c>
      <c r="D111" s="26">
        <v>15680</v>
      </c>
    </row>
    <row r="112" spans="1:4" ht="15.75" customHeight="1" x14ac:dyDescent="0.2">
      <c r="A112" s="79"/>
      <c r="B112" s="79"/>
      <c r="C112" s="18" t="s">
        <v>13</v>
      </c>
      <c r="D112" s="26">
        <v>16020</v>
      </c>
    </row>
    <row r="113" spans="1:4" ht="15.75" customHeight="1" x14ac:dyDescent="0.2">
      <c r="A113" s="80"/>
      <c r="B113" s="80"/>
      <c r="C113" s="18" t="s">
        <v>14</v>
      </c>
      <c r="D113" s="26"/>
    </row>
    <row r="114" spans="1:4" ht="15.75" customHeight="1" x14ac:dyDescent="0.2">
      <c r="A114" s="49">
        <v>23</v>
      </c>
      <c r="B114" s="81" t="s">
        <v>36</v>
      </c>
      <c r="C114" s="18" t="s">
        <v>10</v>
      </c>
      <c r="D114" s="26">
        <v>9540</v>
      </c>
    </row>
    <row r="115" spans="1:4" ht="15.75" customHeight="1" x14ac:dyDescent="0.2">
      <c r="A115" s="79"/>
      <c r="B115" s="79"/>
      <c r="C115" s="18" t="s">
        <v>11</v>
      </c>
      <c r="D115" s="26">
        <v>10420</v>
      </c>
    </row>
    <row r="116" spans="1:4" ht="15.75" customHeight="1" x14ac:dyDescent="0.2">
      <c r="A116" s="79"/>
      <c r="B116" s="79"/>
      <c r="C116" s="18" t="s">
        <v>12</v>
      </c>
      <c r="D116" s="26">
        <v>9940</v>
      </c>
    </row>
    <row r="117" spans="1:4" ht="15.75" customHeight="1" x14ac:dyDescent="0.2">
      <c r="A117" s="79"/>
      <c r="B117" s="79"/>
      <c r="C117" s="18" t="s">
        <v>13</v>
      </c>
      <c r="D117" s="26"/>
    </row>
    <row r="118" spans="1:4" ht="15.75" customHeight="1" x14ac:dyDescent="0.2">
      <c r="A118" s="80"/>
      <c r="B118" s="80"/>
      <c r="C118" s="18" t="s">
        <v>14</v>
      </c>
      <c r="D118" s="26"/>
    </row>
    <row r="119" spans="1:4" ht="15.75" customHeight="1" x14ac:dyDescent="0.2">
      <c r="A119" s="49">
        <v>24</v>
      </c>
      <c r="B119" s="81" t="s">
        <v>37</v>
      </c>
      <c r="C119" s="18" t="s">
        <v>10</v>
      </c>
      <c r="D119" s="26"/>
    </row>
    <row r="120" spans="1:4" ht="15.75" customHeight="1" x14ac:dyDescent="0.2">
      <c r="A120" s="79"/>
      <c r="B120" s="79"/>
      <c r="C120" s="18" t="s">
        <v>11</v>
      </c>
      <c r="D120" s="26">
        <v>11320</v>
      </c>
    </row>
    <row r="121" spans="1:4" ht="15.75" customHeight="1" x14ac:dyDescent="0.2">
      <c r="A121" s="79"/>
      <c r="B121" s="79"/>
      <c r="C121" s="18" t="s">
        <v>12</v>
      </c>
      <c r="D121" s="26">
        <v>11240</v>
      </c>
    </row>
    <row r="122" spans="1:4" ht="15.75" customHeight="1" x14ac:dyDescent="0.2">
      <c r="A122" s="79"/>
      <c r="B122" s="79"/>
      <c r="C122" s="18" t="s">
        <v>13</v>
      </c>
      <c r="D122" s="26">
        <v>11420</v>
      </c>
    </row>
    <row r="123" spans="1:4" ht="15.75" customHeight="1" x14ac:dyDescent="0.2">
      <c r="A123" s="80"/>
      <c r="B123" s="80"/>
      <c r="C123" s="18" t="s">
        <v>14</v>
      </c>
      <c r="D123" s="26"/>
    </row>
    <row r="124" spans="1:4" ht="15.75" customHeight="1" x14ac:dyDescent="0.2">
      <c r="A124" s="49">
        <v>25</v>
      </c>
      <c r="B124" s="81" t="s">
        <v>38</v>
      </c>
      <c r="C124" s="18" t="s">
        <v>10</v>
      </c>
      <c r="D124" s="26"/>
    </row>
    <row r="125" spans="1:4" ht="15.75" customHeight="1" x14ac:dyDescent="0.2">
      <c r="A125" s="79"/>
      <c r="B125" s="79"/>
      <c r="C125" s="18" t="s">
        <v>11</v>
      </c>
      <c r="D125" s="26">
        <v>12820</v>
      </c>
    </row>
    <row r="126" spans="1:4" ht="15.75" customHeight="1" x14ac:dyDescent="0.2">
      <c r="A126" s="79"/>
      <c r="B126" s="79"/>
      <c r="C126" s="18" t="s">
        <v>12</v>
      </c>
      <c r="D126" s="26">
        <v>13240</v>
      </c>
    </row>
    <row r="127" spans="1:4" ht="15.75" customHeight="1" x14ac:dyDescent="0.2">
      <c r="A127" s="79"/>
      <c r="B127" s="79"/>
      <c r="C127" s="18" t="s">
        <v>13</v>
      </c>
      <c r="D127" s="26">
        <v>13020</v>
      </c>
    </row>
    <row r="128" spans="1:4" ht="15.75" customHeight="1" x14ac:dyDescent="0.2">
      <c r="A128" s="80"/>
      <c r="B128" s="80"/>
      <c r="C128" s="18" t="s">
        <v>14</v>
      </c>
      <c r="D128" s="26"/>
    </row>
    <row r="129" spans="1:4" ht="15.75" customHeight="1" x14ac:dyDescent="0.2">
      <c r="A129" s="49">
        <v>26</v>
      </c>
      <c r="B129" s="50" t="s">
        <v>39</v>
      </c>
      <c r="C129" s="49" t="s">
        <v>40</v>
      </c>
      <c r="D129" s="85">
        <v>1600</v>
      </c>
    </row>
    <row r="130" spans="1:4" ht="15.75" customHeight="1" x14ac:dyDescent="0.2">
      <c r="A130" s="79"/>
      <c r="B130" s="79"/>
      <c r="C130" s="79"/>
      <c r="D130" s="79"/>
    </row>
    <row r="131" spans="1:4" ht="15.75" customHeight="1" x14ac:dyDescent="0.2">
      <c r="A131" s="80"/>
      <c r="B131" s="80"/>
      <c r="C131" s="80"/>
      <c r="D131" s="80"/>
    </row>
    <row r="132" spans="1:4" ht="15.75" customHeight="1" x14ac:dyDescent="0.2">
      <c r="A132" s="49">
        <v>26</v>
      </c>
      <c r="B132" s="50" t="s">
        <v>41</v>
      </c>
      <c r="C132" s="49" t="s">
        <v>40</v>
      </c>
      <c r="D132" s="85">
        <v>1400</v>
      </c>
    </row>
    <row r="133" spans="1:4" ht="15.75" customHeight="1" x14ac:dyDescent="0.2">
      <c r="A133" s="79"/>
      <c r="B133" s="79"/>
      <c r="C133" s="79"/>
      <c r="D133" s="79"/>
    </row>
    <row r="134" spans="1:4" ht="15.75" customHeight="1" x14ac:dyDescent="0.2">
      <c r="A134" s="80"/>
      <c r="B134" s="80"/>
      <c r="C134" s="80"/>
      <c r="D134" s="80"/>
    </row>
    <row r="135" spans="1:4" ht="15.75" customHeight="1" x14ac:dyDescent="0.2">
      <c r="A135" s="49">
        <v>27</v>
      </c>
      <c r="B135" s="50" t="s">
        <v>42</v>
      </c>
      <c r="C135" s="49" t="s">
        <v>77</v>
      </c>
      <c r="D135" s="85">
        <v>1600</v>
      </c>
    </row>
    <row r="136" spans="1:4" ht="15.75" customHeight="1" x14ac:dyDescent="0.2">
      <c r="A136" s="79"/>
      <c r="B136" s="79"/>
      <c r="C136" s="79"/>
      <c r="D136" s="79"/>
    </row>
    <row r="137" spans="1:4" ht="15.75" customHeight="1" x14ac:dyDescent="0.2">
      <c r="A137" s="80"/>
      <c r="B137" s="80"/>
      <c r="C137" s="80"/>
      <c r="D137" s="80"/>
    </row>
    <row r="138" spans="1:4" ht="15.75" customHeight="1" x14ac:dyDescent="0.2">
      <c r="A138" s="49">
        <v>28</v>
      </c>
      <c r="B138" s="50" t="s">
        <v>43</v>
      </c>
      <c r="C138" s="49" t="s">
        <v>40</v>
      </c>
      <c r="D138" s="85">
        <v>1200</v>
      </c>
    </row>
    <row r="139" spans="1:4" ht="15.75" customHeight="1" x14ac:dyDescent="0.2">
      <c r="A139" s="79"/>
      <c r="B139" s="79"/>
      <c r="C139" s="79"/>
      <c r="D139" s="79"/>
    </row>
    <row r="140" spans="1:4" ht="15.75" customHeight="1" x14ac:dyDescent="0.2">
      <c r="A140" s="80"/>
      <c r="B140" s="80"/>
      <c r="C140" s="80"/>
      <c r="D140" s="80"/>
    </row>
    <row r="141" spans="1:4" ht="15.75" customHeight="1" x14ac:dyDescent="0.2">
      <c r="A141" s="49">
        <v>29</v>
      </c>
      <c r="B141" s="50" t="s">
        <v>44</v>
      </c>
      <c r="C141" s="49" t="s">
        <v>40</v>
      </c>
      <c r="D141" s="85">
        <v>1700</v>
      </c>
    </row>
    <row r="142" spans="1:4" ht="15.75" customHeight="1" x14ac:dyDescent="0.2">
      <c r="A142" s="79"/>
      <c r="B142" s="79"/>
      <c r="C142" s="79"/>
      <c r="D142" s="79"/>
    </row>
    <row r="143" spans="1:4" ht="15.75" customHeight="1" x14ac:dyDescent="0.2">
      <c r="A143" s="80"/>
      <c r="B143" s="80"/>
      <c r="C143" s="80"/>
      <c r="D143" s="80"/>
    </row>
    <row r="144" spans="1:4" ht="15.75" customHeight="1" x14ac:dyDescent="0.2">
      <c r="A144" s="49">
        <v>30</v>
      </c>
      <c r="B144" s="50" t="s">
        <v>45</v>
      </c>
      <c r="C144" s="49" t="s">
        <v>40</v>
      </c>
      <c r="D144" s="85">
        <v>1400</v>
      </c>
    </row>
    <row r="145" spans="1:4" ht="15.75" customHeight="1" x14ac:dyDescent="0.2">
      <c r="A145" s="79"/>
      <c r="B145" s="79"/>
      <c r="C145" s="79"/>
      <c r="D145" s="79"/>
    </row>
    <row r="146" spans="1:4" ht="15.75" customHeight="1" x14ac:dyDescent="0.2">
      <c r="A146" s="80"/>
      <c r="B146" s="80"/>
      <c r="C146" s="80"/>
      <c r="D146" s="80"/>
    </row>
    <row r="147" spans="1:4" ht="15.75" customHeight="1" x14ac:dyDescent="0.2">
      <c r="A147" s="49">
        <v>31</v>
      </c>
      <c r="B147" s="50" t="s">
        <v>46</v>
      </c>
      <c r="C147" s="49" t="s">
        <v>40</v>
      </c>
      <c r="D147" s="85">
        <v>1200</v>
      </c>
    </row>
    <row r="148" spans="1:4" ht="15.75" customHeight="1" x14ac:dyDescent="0.2">
      <c r="A148" s="79"/>
      <c r="B148" s="79"/>
      <c r="C148" s="79"/>
      <c r="D148" s="79"/>
    </row>
    <row r="149" spans="1:4" ht="15.75" customHeight="1" x14ac:dyDescent="0.2">
      <c r="A149" s="80"/>
      <c r="B149" s="80"/>
      <c r="C149" s="80"/>
      <c r="D149" s="80"/>
    </row>
    <row r="150" spans="1:4" ht="15.75" customHeight="1" x14ac:dyDescent="0.2">
      <c r="A150" s="49">
        <v>32</v>
      </c>
      <c r="B150" s="50" t="s">
        <v>47</v>
      </c>
      <c r="C150" s="49" t="s">
        <v>40</v>
      </c>
      <c r="D150" s="85">
        <v>1700</v>
      </c>
    </row>
    <row r="151" spans="1:4" ht="15.75" customHeight="1" x14ac:dyDescent="0.2">
      <c r="A151" s="79"/>
      <c r="B151" s="79"/>
      <c r="C151" s="79"/>
      <c r="D151" s="79"/>
    </row>
    <row r="152" spans="1:4" ht="15.75" customHeight="1" x14ac:dyDescent="0.2">
      <c r="A152" s="80"/>
      <c r="B152" s="80"/>
      <c r="C152" s="80"/>
      <c r="D152" s="80"/>
    </row>
    <row r="153" spans="1:4" ht="15.75" customHeight="1" x14ac:dyDescent="0.2">
      <c r="A153" s="49">
        <v>33</v>
      </c>
      <c r="B153" s="50" t="s">
        <v>48</v>
      </c>
      <c r="C153" s="49" t="s">
        <v>13</v>
      </c>
      <c r="D153" s="85">
        <v>3200</v>
      </c>
    </row>
    <row r="154" spans="1:4" ht="15.75" customHeight="1" x14ac:dyDescent="0.2">
      <c r="A154" s="79"/>
      <c r="B154" s="79"/>
      <c r="C154" s="79"/>
      <c r="D154" s="79"/>
    </row>
    <row r="155" spans="1:4" ht="15.75" customHeight="1" x14ac:dyDescent="0.2">
      <c r="A155" s="80"/>
      <c r="B155" s="80"/>
      <c r="C155" s="80"/>
      <c r="D155" s="80"/>
    </row>
    <row r="156" spans="1:4" ht="15.75" customHeight="1" x14ac:dyDescent="0.2">
      <c r="A156" s="49">
        <v>33</v>
      </c>
      <c r="B156" s="50" t="s">
        <v>50</v>
      </c>
      <c r="C156" s="49" t="s">
        <v>40</v>
      </c>
      <c r="D156" s="85">
        <v>1300</v>
      </c>
    </row>
    <row r="157" spans="1:4" ht="15.75" customHeight="1" x14ac:dyDescent="0.2">
      <c r="A157" s="79"/>
      <c r="B157" s="79"/>
      <c r="C157" s="79"/>
      <c r="D157" s="79"/>
    </row>
    <row r="158" spans="1:4" ht="15.75" customHeight="1" x14ac:dyDescent="0.2">
      <c r="A158" s="80"/>
      <c r="B158" s="80"/>
      <c r="C158" s="80"/>
      <c r="D158" s="80"/>
    </row>
    <row r="159" spans="1:4" ht="15.75" customHeight="1" x14ac:dyDescent="0.2">
      <c r="A159" s="49">
        <v>34</v>
      </c>
      <c r="B159" s="50" t="s">
        <v>49</v>
      </c>
      <c r="C159" s="49" t="s">
        <v>40</v>
      </c>
      <c r="D159" s="85">
        <v>1300</v>
      </c>
    </row>
    <row r="160" spans="1:4" ht="15.75" customHeight="1" x14ac:dyDescent="0.2">
      <c r="A160" s="79"/>
      <c r="B160" s="79"/>
      <c r="C160" s="79"/>
      <c r="D160" s="79"/>
    </row>
    <row r="161" spans="1:4" ht="15.75" customHeight="1" x14ac:dyDescent="0.2">
      <c r="A161" s="80"/>
      <c r="B161" s="80"/>
      <c r="C161" s="80"/>
      <c r="D161" s="80"/>
    </row>
    <row r="162" spans="1:4" ht="15.75" customHeight="1" x14ac:dyDescent="0.2">
      <c r="A162" s="49">
        <v>35</v>
      </c>
      <c r="B162" s="50" t="s">
        <v>51</v>
      </c>
      <c r="C162" s="49" t="s">
        <v>13</v>
      </c>
      <c r="D162" s="85">
        <v>1500</v>
      </c>
    </row>
    <row r="163" spans="1:4" ht="15.75" customHeight="1" x14ac:dyDescent="0.2">
      <c r="A163" s="79"/>
      <c r="B163" s="79"/>
      <c r="C163" s="79"/>
      <c r="D163" s="79"/>
    </row>
    <row r="164" spans="1:4" ht="15.75" customHeight="1" x14ac:dyDescent="0.2">
      <c r="A164" s="80"/>
      <c r="B164" s="80"/>
      <c r="C164" s="80"/>
      <c r="D164" s="80"/>
    </row>
    <row r="165" spans="1:4" ht="15.75" customHeight="1" x14ac:dyDescent="0.2">
      <c r="A165" s="49">
        <v>36</v>
      </c>
      <c r="B165" s="81" t="s">
        <v>52</v>
      </c>
      <c r="C165" s="18" t="s">
        <v>10</v>
      </c>
      <c r="D165" s="26"/>
    </row>
    <row r="166" spans="1:4" ht="15.75" customHeight="1" x14ac:dyDescent="0.2">
      <c r="A166" s="79"/>
      <c r="B166" s="79"/>
      <c r="C166" s="18" t="s">
        <v>11</v>
      </c>
      <c r="D166" s="26"/>
    </row>
    <row r="167" spans="1:4" ht="15.75" customHeight="1" x14ac:dyDescent="0.2">
      <c r="A167" s="79"/>
      <c r="B167" s="79"/>
      <c r="C167" s="18" t="s">
        <v>12</v>
      </c>
      <c r="D167" s="26">
        <v>5700</v>
      </c>
    </row>
    <row r="168" spans="1:4" ht="15.75" customHeight="1" x14ac:dyDescent="0.2">
      <c r="A168" s="79"/>
      <c r="B168" s="79"/>
      <c r="C168" s="18" t="s">
        <v>13</v>
      </c>
      <c r="D168" s="26">
        <v>6000</v>
      </c>
    </row>
    <row r="169" spans="1:4" ht="15.75" customHeight="1" x14ac:dyDescent="0.2">
      <c r="A169" s="80"/>
      <c r="B169" s="80"/>
      <c r="C169" s="18" t="s">
        <v>14</v>
      </c>
      <c r="D169" s="26"/>
    </row>
    <row r="170" spans="1:4" ht="15.75" customHeight="1" x14ac:dyDescent="0.2">
      <c r="A170" s="49">
        <v>37</v>
      </c>
      <c r="B170" s="81" t="s">
        <v>53</v>
      </c>
      <c r="C170" s="18" t="s">
        <v>10</v>
      </c>
      <c r="D170" s="26"/>
    </row>
    <row r="171" spans="1:4" ht="15.75" customHeight="1" x14ac:dyDescent="0.2">
      <c r="A171" s="79"/>
      <c r="B171" s="79"/>
      <c r="C171" s="18" t="s">
        <v>11</v>
      </c>
      <c r="D171" s="26"/>
    </row>
    <row r="172" spans="1:4" ht="15.75" customHeight="1" x14ac:dyDescent="0.2">
      <c r="A172" s="79"/>
      <c r="B172" s="79"/>
      <c r="C172" s="18" t="s">
        <v>12</v>
      </c>
      <c r="D172" s="26">
        <v>5700</v>
      </c>
    </row>
    <row r="173" spans="1:4" ht="15.75" customHeight="1" x14ac:dyDescent="0.2">
      <c r="A173" s="79"/>
      <c r="B173" s="79"/>
      <c r="C173" s="18" t="s">
        <v>13</v>
      </c>
      <c r="D173" s="26">
        <v>6000</v>
      </c>
    </row>
    <row r="174" spans="1:4" ht="15.75" customHeight="1" x14ac:dyDescent="0.2">
      <c r="A174" s="80"/>
      <c r="B174" s="80"/>
      <c r="C174" s="18" t="s">
        <v>14</v>
      </c>
      <c r="D174" s="26"/>
    </row>
    <row r="175" spans="1:4" ht="15.75" customHeight="1" x14ac:dyDescent="0.2">
      <c r="A175" s="49">
        <v>38</v>
      </c>
      <c r="B175" s="81" t="s">
        <v>54</v>
      </c>
      <c r="C175" s="18" t="s">
        <v>10</v>
      </c>
      <c r="D175" s="26"/>
    </row>
    <row r="176" spans="1:4" ht="15.75" customHeight="1" x14ac:dyDescent="0.2">
      <c r="A176" s="79"/>
      <c r="B176" s="79"/>
      <c r="C176" s="18" t="s">
        <v>11</v>
      </c>
      <c r="D176" s="26">
        <v>19620</v>
      </c>
    </row>
    <row r="177" spans="1:4" ht="15.75" customHeight="1" x14ac:dyDescent="0.2">
      <c r="A177" s="79"/>
      <c r="B177" s="79"/>
      <c r="C177" s="18" t="s">
        <v>12</v>
      </c>
      <c r="D177" s="26"/>
    </row>
    <row r="178" spans="1:4" ht="15.75" customHeight="1" x14ac:dyDescent="0.2">
      <c r="A178" s="79"/>
      <c r="B178" s="79"/>
      <c r="C178" s="18" t="s">
        <v>13</v>
      </c>
      <c r="D178" s="26"/>
    </row>
    <row r="179" spans="1:4" ht="15.75" customHeight="1" x14ac:dyDescent="0.2">
      <c r="A179" s="80"/>
      <c r="B179" s="80"/>
      <c r="C179" s="18" t="s">
        <v>14</v>
      </c>
      <c r="D179" s="26"/>
    </row>
    <row r="180" spans="1:4" ht="15.75" customHeight="1" x14ac:dyDescent="0.2">
      <c r="A180" s="49">
        <v>39</v>
      </c>
      <c r="B180" s="81" t="s">
        <v>55</v>
      </c>
      <c r="C180" s="18" t="s">
        <v>10</v>
      </c>
      <c r="D180" s="26"/>
    </row>
    <row r="181" spans="1:4" ht="15.75" customHeight="1" x14ac:dyDescent="0.2">
      <c r="A181" s="79"/>
      <c r="B181" s="79"/>
      <c r="C181" s="18" t="s">
        <v>11</v>
      </c>
      <c r="D181" s="26"/>
    </row>
    <row r="182" spans="1:4" ht="15.75" customHeight="1" x14ac:dyDescent="0.2">
      <c r="A182" s="79"/>
      <c r="B182" s="79"/>
      <c r="C182" s="18" t="s">
        <v>12</v>
      </c>
      <c r="D182" s="26">
        <v>6000</v>
      </c>
    </row>
    <row r="183" spans="1:4" ht="15.75" customHeight="1" x14ac:dyDescent="0.2">
      <c r="A183" s="79"/>
      <c r="B183" s="79"/>
      <c r="C183" s="18" t="s">
        <v>13</v>
      </c>
      <c r="D183" s="26">
        <v>6200</v>
      </c>
    </row>
    <row r="184" spans="1:4" ht="15.75" customHeight="1" x14ac:dyDescent="0.2">
      <c r="A184" s="80"/>
      <c r="B184" s="80"/>
      <c r="C184" s="18" t="s">
        <v>14</v>
      </c>
      <c r="D184" s="26"/>
    </row>
    <row r="185" spans="1:4" ht="15.75" customHeight="1" x14ac:dyDescent="0.2">
      <c r="A185" s="49">
        <v>40</v>
      </c>
      <c r="B185" s="81" t="s">
        <v>56</v>
      </c>
      <c r="C185" s="18" t="s">
        <v>10</v>
      </c>
      <c r="D185" s="26"/>
    </row>
    <row r="186" spans="1:4" ht="15.75" customHeight="1" x14ac:dyDescent="0.2">
      <c r="A186" s="79"/>
      <c r="B186" s="79"/>
      <c r="C186" s="18" t="s">
        <v>11</v>
      </c>
      <c r="D186" s="26">
        <v>7680</v>
      </c>
    </row>
    <row r="187" spans="1:4" ht="15.75" customHeight="1" x14ac:dyDescent="0.2">
      <c r="A187" s="79"/>
      <c r="B187" s="79"/>
      <c r="C187" s="18" t="s">
        <v>12</v>
      </c>
      <c r="D187" s="26">
        <v>7600</v>
      </c>
    </row>
    <row r="188" spans="1:4" ht="15.75" customHeight="1" x14ac:dyDescent="0.2">
      <c r="A188" s="79"/>
      <c r="B188" s="79"/>
      <c r="C188" s="18" t="s">
        <v>13</v>
      </c>
      <c r="D188" s="26"/>
    </row>
    <row r="189" spans="1:4" ht="15.75" customHeight="1" x14ac:dyDescent="0.2">
      <c r="A189" s="80"/>
      <c r="B189" s="80"/>
      <c r="C189" s="18" t="s">
        <v>14</v>
      </c>
      <c r="D189" s="26"/>
    </row>
    <row r="190" spans="1:4" ht="15.75" customHeight="1" x14ac:dyDescent="0.2">
      <c r="A190" s="49">
        <v>41</v>
      </c>
      <c r="B190" s="81" t="s">
        <v>57</v>
      </c>
      <c r="C190" s="18" t="s">
        <v>10</v>
      </c>
      <c r="D190" s="26">
        <v>5820</v>
      </c>
    </row>
    <row r="191" spans="1:4" ht="15.75" customHeight="1" x14ac:dyDescent="0.2">
      <c r="A191" s="79"/>
      <c r="B191" s="79"/>
      <c r="C191" s="18" t="s">
        <v>11</v>
      </c>
      <c r="D191" s="26"/>
    </row>
    <row r="192" spans="1:4" ht="15.75" customHeight="1" x14ac:dyDescent="0.2">
      <c r="A192" s="79"/>
      <c r="B192" s="79"/>
      <c r="C192" s="18" t="s">
        <v>12</v>
      </c>
      <c r="D192" s="26">
        <v>6300</v>
      </c>
    </row>
    <row r="193" spans="1:4" ht="15.75" customHeight="1" x14ac:dyDescent="0.2">
      <c r="A193" s="79"/>
      <c r="B193" s="79"/>
      <c r="C193" s="18" t="s">
        <v>13</v>
      </c>
      <c r="D193" s="26"/>
    </row>
    <row r="194" spans="1:4" ht="15.75" customHeight="1" x14ac:dyDescent="0.2">
      <c r="A194" s="80"/>
      <c r="B194" s="80"/>
      <c r="C194" s="18" t="s">
        <v>14</v>
      </c>
      <c r="D194" s="26"/>
    </row>
    <row r="195" spans="1:4" ht="15.75" customHeight="1" x14ac:dyDescent="0.2">
      <c r="A195" s="49">
        <v>42</v>
      </c>
      <c r="B195" s="81" t="s">
        <v>58</v>
      </c>
      <c r="C195" s="18" t="s">
        <v>10</v>
      </c>
      <c r="D195" s="26">
        <v>6420</v>
      </c>
    </row>
    <row r="196" spans="1:4" ht="15.75" customHeight="1" x14ac:dyDescent="0.2">
      <c r="A196" s="79"/>
      <c r="B196" s="79"/>
      <c r="C196" s="18" t="s">
        <v>11</v>
      </c>
      <c r="D196" s="26">
        <v>7960</v>
      </c>
    </row>
    <row r="197" spans="1:4" ht="15.75" customHeight="1" x14ac:dyDescent="0.2">
      <c r="A197" s="79"/>
      <c r="B197" s="79"/>
      <c r="C197" s="18" t="s">
        <v>12</v>
      </c>
      <c r="D197" s="26">
        <v>7200</v>
      </c>
    </row>
    <row r="198" spans="1:4" ht="15.75" customHeight="1" x14ac:dyDescent="0.2">
      <c r="A198" s="79"/>
      <c r="B198" s="79"/>
      <c r="C198" s="18" t="s">
        <v>13</v>
      </c>
      <c r="D198" s="26">
        <v>6900</v>
      </c>
    </row>
    <row r="199" spans="1:4" ht="15.75" customHeight="1" x14ac:dyDescent="0.2">
      <c r="A199" s="80"/>
      <c r="B199" s="80"/>
      <c r="C199" s="18" t="s">
        <v>14</v>
      </c>
      <c r="D199" s="26"/>
    </row>
    <row r="200" spans="1:4" ht="15.75" customHeight="1" x14ac:dyDescent="0.2">
      <c r="A200" s="49">
        <v>43</v>
      </c>
      <c r="B200" s="81" t="s">
        <v>59</v>
      </c>
      <c r="C200" s="18" t="s">
        <v>10</v>
      </c>
      <c r="D200" s="26"/>
    </row>
    <row r="201" spans="1:4" ht="15.75" customHeight="1" x14ac:dyDescent="0.2">
      <c r="A201" s="79"/>
      <c r="B201" s="79"/>
      <c r="C201" s="18" t="s">
        <v>11</v>
      </c>
      <c r="D201" s="26">
        <v>5260</v>
      </c>
    </row>
    <row r="202" spans="1:4" ht="15.75" customHeight="1" x14ac:dyDescent="0.2">
      <c r="A202" s="79"/>
      <c r="B202" s="79"/>
      <c r="C202" s="18" t="s">
        <v>12</v>
      </c>
      <c r="D202" s="26"/>
    </row>
    <row r="203" spans="1:4" ht="15.75" customHeight="1" x14ac:dyDescent="0.2">
      <c r="A203" s="79"/>
      <c r="B203" s="79"/>
      <c r="C203" s="18" t="s">
        <v>13</v>
      </c>
      <c r="D203" s="26"/>
    </row>
    <row r="204" spans="1:4" ht="15.75" customHeight="1" x14ac:dyDescent="0.2">
      <c r="A204" s="80"/>
      <c r="B204" s="80"/>
      <c r="C204" s="18" t="s">
        <v>14</v>
      </c>
      <c r="D204" s="26"/>
    </row>
    <row r="205" spans="1:4" ht="15.75" customHeight="1" x14ac:dyDescent="0.2">
      <c r="A205" s="49">
        <v>44</v>
      </c>
      <c r="B205" s="81" t="s">
        <v>60</v>
      </c>
      <c r="C205" s="18" t="s">
        <v>10</v>
      </c>
      <c r="D205" s="26">
        <v>7220</v>
      </c>
    </row>
    <row r="206" spans="1:4" ht="15.75" customHeight="1" x14ac:dyDescent="0.2">
      <c r="A206" s="79"/>
      <c r="B206" s="79"/>
      <c r="C206" s="18" t="s">
        <v>11</v>
      </c>
      <c r="D206" s="26">
        <v>7960</v>
      </c>
    </row>
    <row r="207" spans="1:4" ht="15.75" customHeight="1" x14ac:dyDescent="0.2">
      <c r="A207" s="79"/>
      <c r="B207" s="79"/>
      <c r="C207" s="18" t="s">
        <v>12</v>
      </c>
      <c r="D207" s="26">
        <v>7200</v>
      </c>
    </row>
    <row r="208" spans="1:4" ht="15.75" customHeight="1" x14ac:dyDescent="0.2">
      <c r="A208" s="79"/>
      <c r="B208" s="79"/>
      <c r="C208" s="18" t="s">
        <v>13</v>
      </c>
      <c r="D208" s="26"/>
    </row>
    <row r="209" spans="1:4" ht="15.75" customHeight="1" x14ac:dyDescent="0.2">
      <c r="A209" s="80"/>
      <c r="B209" s="80"/>
      <c r="C209" s="18" t="s">
        <v>14</v>
      </c>
      <c r="D209" s="26"/>
    </row>
    <row r="210" spans="1:4" ht="15.75" customHeight="1" x14ac:dyDescent="0.2">
      <c r="A210" s="49">
        <v>45</v>
      </c>
      <c r="B210" s="81" t="s">
        <v>61</v>
      </c>
      <c r="C210" s="18" t="s">
        <v>10</v>
      </c>
      <c r="D210" s="26">
        <v>7720</v>
      </c>
    </row>
    <row r="211" spans="1:4" ht="15.75" customHeight="1" x14ac:dyDescent="0.2">
      <c r="A211" s="79"/>
      <c r="B211" s="79"/>
      <c r="C211" s="18" t="s">
        <v>11</v>
      </c>
      <c r="D211" s="26"/>
    </row>
    <row r="212" spans="1:4" ht="15.75" customHeight="1" x14ac:dyDescent="0.2">
      <c r="A212" s="79"/>
      <c r="B212" s="79"/>
      <c r="C212" s="18" t="s">
        <v>12</v>
      </c>
      <c r="D212" s="26">
        <v>7600</v>
      </c>
    </row>
    <row r="213" spans="1:4" ht="15.75" customHeight="1" x14ac:dyDescent="0.2">
      <c r="A213" s="79"/>
      <c r="B213" s="79"/>
      <c r="C213" s="18" t="s">
        <v>13</v>
      </c>
      <c r="D213" s="26">
        <v>8600</v>
      </c>
    </row>
    <row r="214" spans="1:4" ht="15.75" customHeight="1" x14ac:dyDescent="0.2">
      <c r="A214" s="80"/>
      <c r="B214" s="80"/>
      <c r="C214" s="18" t="s">
        <v>14</v>
      </c>
      <c r="D214" s="26"/>
    </row>
    <row r="215" spans="1:4" ht="15.75" customHeight="1" x14ac:dyDescent="0.2">
      <c r="A215" s="49">
        <v>46</v>
      </c>
      <c r="B215" s="81" t="s">
        <v>62</v>
      </c>
      <c r="C215" s="18" t="s">
        <v>10</v>
      </c>
      <c r="D215" s="26"/>
    </row>
    <row r="216" spans="1:4" ht="15.75" customHeight="1" x14ac:dyDescent="0.2">
      <c r="A216" s="79"/>
      <c r="B216" s="79"/>
      <c r="C216" s="18" t="s">
        <v>11</v>
      </c>
      <c r="D216" s="26">
        <v>45020</v>
      </c>
    </row>
    <row r="217" spans="1:4" ht="15.75" customHeight="1" x14ac:dyDescent="0.2">
      <c r="A217" s="79"/>
      <c r="B217" s="79"/>
      <c r="C217" s="18" t="s">
        <v>12</v>
      </c>
      <c r="D217" s="26"/>
    </row>
    <row r="218" spans="1:4" ht="15.75" customHeight="1" x14ac:dyDescent="0.2">
      <c r="A218" s="79"/>
      <c r="B218" s="79"/>
      <c r="C218" s="18" t="s">
        <v>13</v>
      </c>
      <c r="D218" s="26"/>
    </row>
    <row r="219" spans="1:4" ht="15.75" customHeight="1" x14ac:dyDescent="0.2">
      <c r="A219" s="80"/>
      <c r="B219" s="80"/>
      <c r="C219" s="18" t="s">
        <v>14</v>
      </c>
      <c r="D219" s="26"/>
    </row>
    <row r="220" spans="1:4" ht="15.75" customHeight="1" x14ac:dyDescent="0.2">
      <c r="A220" s="49">
        <v>47</v>
      </c>
      <c r="B220" s="81" t="s">
        <v>63</v>
      </c>
      <c r="C220" s="18" t="s">
        <v>10</v>
      </c>
      <c r="D220" s="26"/>
    </row>
    <row r="221" spans="1:4" ht="15.75" customHeight="1" x14ac:dyDescent="0.2">
      <c r="A221" s="79"/>
      <c r="B221" s="79"/>
      <c r="C221" s="18" t="s">
        <v>11</v>
      </c>
      <c r="D221" s="26">
        <v>66520</v>
      </c>
    </row>
    <row r="222" spans="1:4" ht="15.75" customHeight="1" x14ac:dyDescent="0.2">
      <c r="A222" s="79"/>
      <c r="B222" s="79"/>
      <c r="C222" s="18" t="s">
        <v>12</v>
      </c>
      <c r="D222" s="26"/>
    </row>
    <row r="223" spans="1:4" ht="15.75" customHeight="1" x14ac:dyDescent="0.2">
      <c r="A223" s="79"/>
      <c r="B223" s="79"/>
      <c r="C223" s="18" t="s">
        <v>13</v>
      </c>
      <c r="D223" s="26"/>
    </row>
    <row r="224" spans="1:4" ht="15.75" customHeight="1" x14ac:dyDescent="0.2">
      <c r="A224" s="80"/>
      <c r="B224" s="80"/>
      <c r="C224" s="18" t="s">
        <v>14</v>
      </c>
      <c r="D224" s="26"/>
    </row>
    <row r="225" spans="1:4" ht="15.75" customHeight="1" x14ac:dyDescent="0.2">
      <c r="A225" s="49">
        <v>48</v>
      </c>
      <c r="B225" s="81" t="s">
        <v>64</v>
      </c>
      <c r="C225" s="18" t="s">
        <v>10</v>
      </c>
      <c r="D225" s="26"/>
    </row>
    <row r="226" spans="1:4" ht="15.75" customHeight="1" x14ac:dyDescent="0.2">
      <c r="A226" s="79"/>
      <c r="B226" s="79"/>
      <c r="C226" s="18" t="s">
        <v>11</v>
      </c>
      <c r="D226" s="26">
        <v>24720</v>
      </c>
    </row>
    <row r="227" spans="1:4" ht="15.75" customHeight="1" x14ac:dyDescent="0.2">
      <c r="A227" s="79"/>
      <c r="B227" s="79"/>
      <c r="C227" s="18" t="s">
        <v>12</v>
      </c>
      <c r="D227" s="26"/>
    </row>
    <row r="228" spans="1:4" ht="15.75" customHeight="1" x14ac:dyDescent="0.2">
      <c r="A228" s="79"/>
      <c r="B228" s="79"/>
      <c r="C228" s="18" t="s">
        <v>13</v>
      </c>
      <c r="D228" s="26"/>
    </row>
    <row r="229" spans="1:4" ht="15.75" customHeight="1" x14ac:dyDescent="0.2">
      <c r="A229" s="80"/>
      <c r="B229" s="80"/>
      <c r="C229" s="18" t="s">
        <v>14</v>
      </c>
      <c r="D229" s="26"/>
    </row>
    <row r="230" spans="1:4" ht="15.75" customHeight="1" x14ac:dyDescent="0.2">
      <c r="A230" s="49">
        <v>49</v>
      </c>
      <c r="B230" s="81" t="s">
        <v>65</v>
      </c>
      <c r="C230" s="18" t="s">
        <v>10</v>
      </c>
      <c r="D230" s="26">
        <v>5620</v>
      </c>
    </row>
    <row r="231" spans="1:4" ht="15.75" customHeight="1" x14ac:dyDescent="0.2">
      <c r="A231" s="79"/>
      <c r="B231" s="79"/>
      <c r="C231" s="18" t="s">
        <v>11</v>
      </c>
      <c r="D231" s="26"/>
    </row>
    <row r="232" spans="1:4" ht="15.75" customHeight="1" x14ac:dyDescent="0.2">
      <c r="A232" s="79"/>
      <c r="B232" s="79"/>
      <c r="C232" s="18" t="s">
        <v>12</v>
      </c>
      <c r="D232" s="26"/>
    </row>
    <row r="233" spans="1:4" ht="15.75" customHeight="1" x14ac:dyDescent="0.2">
      <c r="A233" s="79"/>
      <c r="B233" s="79"/>
      <c r="C233" s="18" t="s">
        <v>13</v>
      </c>
      <c r="D233" s="26"/>
    </row>
    <row r="234" spans="1:4" ht="15.75" customHeight="1" x14ac:dyDescent="0.2">
      <c r="A234" s="80"/>
      <c r="B234" s="80"/>
      <c r="C234" s="18" t="s">
        <v>14</v>
      </c>
      <c r="D234" s="26"/>
    </row>
    <row r="235" spans="1:4" ht="15.75" customHeight="1" x14ac:dyDescent="0.2">
      <c r="A235" s="49">
        <v>51</v>
      </c>
      <c r="B235" s="81" t="s">
        <v>66</v>
      </c>
      <c r="C235" s="18" t="s">
        <v>10</v>
      </c>
      <c r="D235" s="26"/>
    </row>
    <row r="236" spans="1:4" ht="15.75" customHeight="1" x14ac:dyDescent="0.2">
      <c r="A236" s="79"/>
      <c r="B236" s="79"/>
      <c r="C236" s="18" t="s">
        <v>11</v>
      </c>
      <c r="D236" s="26">
        <v>14520</v>
      </c>
    </row>
    <row r="237" spans="1:4" ht="15.75" customHeight="1" x14ac:dyDescent="0.2">
      <c r="A237" s="79"/>
      <c r="B237" s="79"/>
      <c r="C237" s="18" t="s">
        <v>12</v>
      </c>
      <c r="D237" s="26"/>
    </row>
    <row r="238" spans="1:4" ht="15.75" customHeight="1" x14ac:dyDescent="0.2">
      <c r="A238" s="79"/>
      <c r="B238" s="79"/>
      <c r="C238" s="18" t="s">
        <v>13</v>
      </c>
      <c r="D238" s="26"/>
    </row>
    <row r="239" spans="1:4" ht="15.75" customHeight="1" x14ac:dyDescent="0.2">
      <c r="A239" s="80"/>
      <c r="B239" s="80"/>
      <c r="C239" s="18" t="s">
        <v>14</v>
      </c>
      <c r="D239" s="26"/>
    </row>
    <row r="240" spans="1:4" ht="15.75" customHeight="1" x14ac:dyDescent="0.2">
      <c r="A240" s="49">
        <v>52</v>
      </c>
      <c r="B240" s="81" t="s">
        <v>67</v>
      </c>
      <c r="C240" s="18" t="s">
        <v>10</v>
      </c>
      <c r="D240" s="26">
        <v>15139.98</v>
      </c>
    </row>
    <row r="241" spans="1:4" ht="15.75" customHeight="1" x14ac:dyDescent="0.2">
      <c r="A241" s="79"/>
      <c r="B241" s="79"/>
      <c r="C241" s="18" t="s">
        <v>11</v>
      </c>
      <c r="D241" s="26"/>
    </row>
    <row r="242" spans="1:4" ht="15.75" customHeight="1" x14ac:dyDescent="0.2">
      <c r="A242" s="79"/>
      <c r="B242" s="79"/>
      <c r="C242" s="18" t="s">
        <v>12</v>
      </c>
      <c r="D242" s="26"/>
    </row>
    <row r="243" spans="1:4" ht="15.75" customHeight="1" x14ac:dyDescent="0.2">
      <c r="A243" s="79"/>
      <c r="B243" s="79"/>
      <c r="C243" s="18" t="s">
        <v>13</v>
      </c>
      <c r="D243" s="26"/>
    </row>
    <row r="244" spans="1:4" ht="15.75" customHeight="1" x14ac:dyDescent="0.2">
      <c r="A244" s="80"/>
      <c r="B244" s="80"/>
      <c r="C244" s="18" t="s">
        <v>14</v>
      </c>
      <c r="D244" s="26"/>
    </row>
    <row r="245" spans="1:4" ht="15.75" customHeight="1" x14ac:dyDescent="0.2">
      <c r="A245" s="49">
        <v>52</v>
      </c>
      <c r="B245" s="81" t="s">
        <v>68</v>
      </c>
      <c r="C245" s="18" t="s">
        <v>10</v>
      </c>
      <c r="D245" s="26">
        <v>4920</v>
      </c>
    </row>
    <row r="246" spans="1:4" ht="15.75" customHeight="1" x14ac:dyDescent="0.2">
      <c r="A246" s="79"/>
      <c r="B246" s="79"/>
      <c r="C246" s="18" t="s">
        <v>11</v>
      </c>
      <c r="D246" s="26"/>
    </row>
    <row r="247" spans="1:4" ht="15.75" customHeight="1" x14ac:dyDescent="0.2">
      <c r="A247" s="79"/>
      <c r="B247" s="79"/>
      <c r="C247" s="18" t="s">
        <v>12</v>
      </c>
      <c r="D247" s="26"/>
    </row>
    <row r="248" spans="1:4" ht="15.75" customHeight="1" x14ac:dyDescent="0.2">
      <c r="A248" s="79"/>
      <c r="B248" s="79"/>
      <c r="C248" s="18" t="s">
        <v>13</v>
      </c>
      <c r="D248" s="26"/>
    </row>
    <row r="249" spans="1:4" ht="15.75" customHeight="1" x14ac:dyDescent="0.2">
      <c r="A249" s="80"/>
      <c r="B249" s="80"/>
      <c r="C249" s="18" t="s">
        <v>14</v>
      </c>
      <c r="D249" s="26"/>
    </row>
    <row r="250" spans="1:4" ht="15.75" customHeight="1" x14ac:dyDescent="0.2">
      <c r="A250" s="49">
        <v>52</v>
      </c>
      <c r="B250" s="30" t="s">
        <v>69</v>
      </c>
      <c r="C250" s="18" t="s">
        <v>10</v>
      </c>
      <c r="D250" s="26">
        <v>7320</v>
      </c>
    </row>
    <row r="251" spans="1:4" ht="15.75" customHeight="1" x14ac:dyDescent="0.2">
      <c r="A251" s="79"/>
      <c r="B251" s="28"/>
      <c r="C251" s="18" t="s">
        <v>11</v>
      </c>
      <c r="D251" s="26"/>
    </row>
    <row r="252" spans="1:4" ht="15.75" customHeight="1" x14ac:dyDescent="0.2">
      <c r="A252" s="79"/>
      <c r="B252" s="28"/>
      <c r="C252" s="18" t="s">
        <v>12</v>
      </c>
      <c r="D252" s="26"/>
    </row>
    <row r="253" spans="1:4" ht="15.75" customHeight="1" x14ac:dyDescent="0.2">
      <c r="A253" s="79"/>
      <c r="B253" s="28"/>
      <c r="C253" s="18" t="s">
        <v>13</v>
      </c>
      <c r="D253" s="26"/>
    </row>
    <row r="254" spans="1:4" ht="15.75" customHeight="1" x14ac:dyDescent="0.2">
      <c r="A254" s="80"/>
      <c r="B254" s="29"/>
      <c r="C254" s="18" t="s">
        <v>14</v>
      </c>
      <c r="D254" s="26"/>
    </row>
  </sheetData>
  <mergeCells count="135">
    <mergeCell ref="A245:A249"/>
    <mergeCell ref="B245:B249"/>
    <mergeCell ref="A250:A254"/>
    <mergeCell ref="B250:B254"/>
    <mergeCell ref="A230:A234"/>
    <mergeCell ref="B230:B234"/>
    <mergeCell ref="A235:A239"/>
    <mergeCell ref="B235:B239"/>
    <mergeCell ref="A240:A244"/>
    <mergeCell ref="B240:B244"/>
    <mergeCell ref="A215:A219"/>
    <mergeCell ref="B215:B219"/>
    <mergeCell ref="A220:A224"/>
    <mergeCell ref="B220:B224"/>
    <mergeCell ref="A225:A229"/>
    <mergeCell ref="B225:B229"/>
    <mergeCell ref="A200:A204"/>
    <mergeCell ref="B200:B204"/>
    <mergeCell ref="A205:A209"/>
    <mergeCell ref="B205:B209"/>
    <mergeCell ref="A210:A214"/>
    <mergeCell ref="B210:B214"/>
    <mergeCell ref="A185:A189"/>
    <mergeCell ref="B185:B189"/>
    <mergeCell ref="A190:A194"/>
    <mergeCell ref="B190:B194"/>
    <mergeCell ref="A195:A199"/>
    <mergeCell ref="B195:B199"/>
    <mergeCell ref="A170:A174"/>
    <mergeCell ref="B170:B174"/>
    <mergeCell ref="A175:A179"/>
    <mergeCell ref="B175:B179"/>
    <mergeCell ref="A180:A184"/>
    <mergeCell ref="B180:B184"/>
    <mergeCell ref="A162:A164"/>
    <mergeCell ref="B162:B164"/>
    <mergeCell ref="C162:C164"/>
    <mergeCell ref="D162:D164"/>
    <mergeCell ref="A165:A169"/>
    <mergeCell ref="B165:B169"/>
    <mergeCell ref="A156:A158"/>
    <mergeCell ref="B156:B158"/>
    <mergeCell ref="C156:C158"/>
    <mergeCell ref="D156:D158"/>
    <mergeCell ref="A159:A161"/>
    <mergeCell ref="B159:B161"/>
    <mergeCell ref="C159:C161"/>
    <mergeCell ref="D159:D161"/>
    <mergeCell ref="A150:A152"/>
    <mergeCell ref="B150:B152"/>
    <mergeCell ref="C150:C152"/>
    <mergeCell ref="D150:D152"/>
    <mergeCell ref="A153:A155"/>
    <mergeCell ref="B153:B155"/>
    <mergeCell ref="C153:C155"/>
    <mergeCell ref="D153:D155"/>
    <mergeCell ref="A144:A146"/>
    <mergeCell ref="B144:B146"/>
    <mergeCell ref="C144:C146"/>
    <mergeCell ref="D144:D146"/>
    <mergeCell ref="A147:A149"/>
    <mergeCell ref="B147:B149"/>
    <mergeCell ref="C147:C149"/>
    <mergeCell ref="D147:D149"/>
    <mergeCell ref="A138:A140"/>
    <mergeCell ref="B138:B140"/>
    <mergeCell ref="C138:C140"/>
    <mergeCell ref="D138:D140"/>
    <mergeCell ref="A141:A143"/>
    <mergeCell ref="B141:B143"/>
    <mergeCell ref="C141:C143"/>
    <mergeCell ref="D141:D143"/>
    <mergeCell ref="A132:A134"/>
    <mergeCell ref="B132:B134"/>
    <mergeCell ref="C132:C134"/>
    <mergeCell ref="D132:D134"/>
    <mergeCell ref="A135:A137"/>
    <mergeCell ref="B135:B137"/>
    <mergeCell ref="C135:C137"/>
    <mergeCell ref="D135:D137"/>
    <mergeCell ref="A124:A128"/>
    <mergeCell ref="B124:B128"/>
    <mergeCell ref="A129:A131"/>
    <mergeCell ref="B129:B131"/>
    <mergeCell ref="C129:C131"/>
    <mergeCell ref="D129:D131"/>
    <mergeCell ref="A109:A113"/>
    <mergeCell ref="B109:B113"/>
    <mergeCell ref="A114:A118"/>
    <mergeCell ref="B114:B118"/>
    <mergeCell ref="A119:A123"/>
    <mergeCell ref="B119:B123"/>
    <mergeCell ref="A94:A98"/>
    <mergeCell ref="B94:B98"/>
    <mergeCell ref="A99:A103"/>
    <mergeCell ref="B99:B103"/>
    <mergeCell ref="A104:A108"/>
    <mergeCell ref="B104:B108"/>
    <mergeCell ref="A79:A83"/>
    <mergeCell ref="B79:B83"/>
    <mergeCell ref="A84:A88"/>
    <mergeCell ref="B84:B88"/>
    <mergeCell ref="A89:A93"/>
    <mergeCell ref="B89:B93"/>
    <mergeCell ref="A69:A73"/>
    <mergeCell ref="B69:B73"/>
    <mergeCell ref="A74:A78"/>
    <mergeCell ref="B74:B78"/>
    <mergeCell ref="A47:A51"/>
    <mergeCell ref="B47:B51"/>
    <mergeCell ref="A52:A56"/>
    <mergeCell ref="B52:B56"/>
    <mergeCell ref="A57:D58"/>
    <mergeCell ref="A59:A63"/>
    <mergeCell ref="B59:B63"/>
    <mergeCell ref="A42:A46"/>
    <mergeCell ref="B42:B46"/>
    <mergeCell ref="A17:A21"/>
    <mergeCell ref="B17:B21"/>
    <mergeCell ref="A22:A26"/>
    <mergeCell ref="B22:B26"/>
    <mergeCell ref="A27:A31"/>
    <mergeCell ref="B27:B31"/>
    <mergeCell ref="A64:A68"/>
    <mergeCell ref="B64:B68"/>
    <mergeCell ref="A2:A6"/>
    <mergeCell ref="B2:B6"/>
    <mergeCell ref="A7:A11"/>
    <mergeCell ref="B7:B11"/>
    <mergeCell ref="A12:A16"/>
    <mergeCell ref="B12:B16"/>
    <mergeCell ref="A32:A36"/>
    <mergeCell ref="B32:B36"/>
    <mergeCell ref="A37:A41"/>
    <mergeCell ref="B37:B41"/>
  </mergeCells>
  <hyperlinks>
    <hyperlink ref="A1" r:id="rId1" xr:uid="{1D291469-4059-4B28-ABCD-08B0E0D0214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 MANAGEMENT</vt:lpstr>
      <vt:lpstr>PRODUCT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Deepa-Admin</dc:creator>
  <cp:lastModifiedBy>Deepa-Admin</cp:lastModifiedBy>
  <dcterms:created xsi:type="dcterms:W3CDTF">2025-11-08T07:48:56Z</dcterms:created>
  <dcterms:modified xsi:type="dcterms:W3CDTF">2025-11-08T08:24:57Z</dcterms:modified>
</cp:coreProperties>
</file>